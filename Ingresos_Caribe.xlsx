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71"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9" pivotButton="0" quotePrefix="0" xfId="0"/>
    <xf numFmtId="164" fontId="5" fillId="3" borderId="10" pivotButton="0" quotePrefix="0" xfId="0"/>
    <xf numFmtId="164" fontId="5" fillId="3" borderId="11" pivotButton="0" quotePrefix="0" xfId="0"/>
    <xf numFmtId="164" fontId="5" fillId="3" borderId="12" pivotButton="0" quotePrefix="0" xfId="0"/>
    <xf numFmtId="0" fontId="6" fillId="4" borderId="9" pivotButton="0" quotePrefix="1" xfId="0"/>
    <xf numFmtId="164" fontId="6" fillId="4" borderId="10" pivotButton="0" quotePrefix="0" xfId="0"/>
    <xf numFmtId="164" fontId="6" fillId="4" borderId="11" pivotButton="0" quotePrefix="0" xfId="0"/>
    <xf numFmtId="164" fontId="6" fillId="4" borderId="12" pivotButton="0" quotePrefix="0" xfId="0"/>
    <xf numFmtId="0" fontId="3" fillId="5" borderId="8" pivotButton="0" quotePrefix="0" xfId="0"/>
    <xf numFmtId="164" fontId="3" fillId="5" borderId="4" pivotButton="0" quotePrefix="0" xfId="0"/>
    <xf numFmtId="164" fontId="3" fillId="5" borderId="6" pivotButton="0" quotePrefix="0" xfId="0"/>
    <xf numFmtId="164" fontId="3" fillId="5" borderId="5" pivotButton="0" quotePrefix="0" xfId="0"/>
    <xf numFmtId="0" fontId="3" fillId="0" borderId="1" pivotButton="0" quotePrefix="0" xfId="0"/>
    <xf numFmtId="164" fontId="3" fillId="0" borderId="1" pivotButton="0" quotePrefix="0" xfId="1"/>
    <xf numFmtId="164" fontId="3" fillId="0" borderId="3" pivotButton="0" quotePrefix="0" xfId="1"/>
    <xf numFmtId="0" fontId="0" fillId="0" borderId="13" pivotButton="0" quotePrefix="0" xfId="0"/>
    <xf numFmtId="164" fontId="1" fillId="0" borderId="13" pivotButton="0" quotePrefix="0" xfId="1"/>
    <xf numFmtId="164" fontId="1" fillId="0" borderId="14" pivotButton="0" quotePrefix="0" xfId="1"/>
    <xf numFmtId="0" fontId="0" fillId="0" borderId="13" applyAlignment="1" pivotButton="0" quotePrefix="0" xfId="0">
      <alignment horizontal="left" indent="3"/>
    </xf>
    <xf numFmtId="164" fontId="1" fillId="0" borderId="13" applyAlignment="1" pivotButton="0" quotePrefix="0" xfId="1">
      <alignment horizontal="left" indent="3"/>
    </xf>
    <xf numFmtId="164" fontId="1" fillId="0" borderId="14" applyAlignment="1" pivotButton="0" quotePrefix="0" xfId="1">
      <alignment horizontal="left" indent="3"/>
    </xf>
    <xf numFmtId="164" fontId="0" fillId="0" borderId="13" applyAlignment="1" pivotButton="0" quotePrefix="0" xfId="1">
      <alignment horizontal="left" indent="3"/>
    </xf>
    <xf numFmtId="164" fontId="0" fillId="0" borderId="14" applyAlignment="1" pivotButton="0" quotePrefix="0" xfId="1">
      <alignment horizontal="left" indent="3"/>
    </xf>
    <xf numFmtId="0" fontId="0" fillId="0" borderId="13" applyAlignment="1" pivotButton="0" quotePrefix="0" xfId="0">
      <alignment horizontal="left" vertical="center" wrapText="1" indent="3"/>
    </xf>
    <xf numFmtId="164" fontId="0" fillId="0" borderId="13" applyAlignment="1" pivotButton="0" quotePrefix="0" xfId="1">
      <alignment horizontal="left" vertical="center" wrapText="1" indent="3"/>
    </xf>
    <xf numFmtId="164" fontId="0" fillId="0" borderId="14" applyAlignment="1" pivotButton="0" quotePrefix="0" xfId="1">
      <alignment horizontal="left" vertical="center" wrapText="1" indent="3"/>
    </xf>
    <xf numFmtId="164" fontId="0" fillId="0" borderId="13" applyAlignment="1" pivotButton="0" quotePrefix="0" xfId="1">
      <alignment vertical="center" wrapText="1"/>
    </xf>
    <xf numFmtId="164" fontId="0" fillId="0" borderId="14" applyAlignment="1" pivotButton="0" quotePrefix="0" xfId="1">
      <alignment vertical="center" wrapText="1"/>
    </xf>
    <xf numFmtId="164" fontId="0" fillId="0" borderId="4" applyAlignment="1" pivotButton="0" quotePrefix="0" xfId="1">
      <alignment horizontal="left" vertical="center" wrapText="1" indent="3"/>
    </xf>
    <xf numFmtId="164" fontId="0" fillId="0" borderId="4" applyAlignment="1" pivotButton="0" quotePrefix="0" xfId="1">
      <alignment horizontal="left" indent="3"/>
    </xf>
    <xf numFmtId="164" fontId="0" fillId="0" borderId="6" applyAlignment="1" pivotButton="0" quotePrefix="0" xfId="1">
      <alignment horizontal="left" indent="3"/>
    </xf>
    <xf numFmtId="164" fontId="3" fillId="5" borderId="10" pivotButton="0" quotePrefix="0" xfId="0"/>
    <xf numFmtId="164" fontId="3" fillId="5" borderId="10" pivotButton="0" quotePrefix="0" xfId="1"/>
    <xf numFmtId="164" fontId="3" fillId="5" borderId="11" pivotButton="0" quotePrefix="0" xfId="1"/>
    <xf numFmtId="164" fontId="0" fillId="0" borderId="14" pivotButton="0" quotePrefix="0" xfId="1"/>
    <xf numFmtId="164" fontId="0" fillId="0" borderId="13" applyAlignment="1" pivotButton="0" quotePrefix="0" xfId="1">
      <alignment horizontal="left" vertical="center" indent="3"/>
    </xf>
    <xf numFmtId="164" fontId="0" fillId="0" borderId="14" applyAlignment="1" pivotButton="0" quotePrefix="0" xfId="1">
      <alignment horizontal="left" vertical="center" indent="3"/>
    </xf>
    <xf numFmtId="0" fontId="0" fillId="0" borderId="0" applyAlignment="1" pivotButton="0" quotePrefix="0" xfId="0">
      <alignment vertical="center"/>
    </xf>
    <xf numFmtId="164" fontId="0" fillId="0" borderId="13" pivotButton="0" quotePrefix="0" xfId="1"/>
    <xf numFmtId="0" fontId="6" fillId="4" borderId="4" pivotButton="0" quotePrefix="1" xfId="0"/>
    <xf numFmtId="164" fontId="6" fillId="4" borderId="4" pivotButton="0" quotePrefix="0" xfId="1"/>
    <xf numFmtId="164" fontId="6" fillId="4" borderId="6" pivotButton="0" quotePrefix="0" xfId="1"/>
    <xf numFmtId="0" fontId="3" fillId="5" borderId="4" pivotButton="0" quotePrefix="0" xfId="0"/>
    <xf numFmtId="164" fontId="3" fillId="5" borderId="4" pivotButton="0" quotePrefix="0" xfId="1"/>
    <xf numFmtId="164" fontId="3" fillId="5" borderId="6" pivotButton="0" quotePrefix="0" xfId="1"/>
    <xf numFmtId="0" fontId="0" fillId="0" borderId="14" pivotButton="0" quotePrefix="0" xfId="0"/>
    <xf numFmtId="0" fontId="0" fillId="0" borderId="4" applyAlignment="1" pivotButton="0" quotePrefix="0" xfId="0">
      <alignment horizontal="left" vertical="center" wrapText="1" indent="3"/>
    </xf>
    <xf numFmtId="0" fontId="0" fillId="0" borderId="4" pivotButton="0" quotePrefix="0" xfId="0"/>
    <xf numFmtId="0" fontId="0" fillId="0" borderId="6" pivotButton="0" quotePrefix="0" xfId="0"/>
    <xf numFmtId="0" fontId="4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8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6"/>
  <sheetViews>
    <sheetView tabSelected="1" workbookViewId="0">
      <selection activeCell="B10" sqref="B10"/>
    </sheetView>
  </sheetViews>
  <sheetFormatPr baseColWidth="10" defaultColWidth="0" defaultRowHeight="15" zeroHeight="1" outlineLevelRow="1"/>
  <cols>
    <col width="50.85546875" customWidth="1" min="1" max="1"/>
    <col width="21.5703125" bestFit="1" customWidth="1" min="2" max="2"/>
    <col width="27.42578125" bestFit="1" customWidth="1" min="3" max="3"/>
    <col width="21.5703125" bestFit="1" customWidth="1" min="4" max="4"/>
    <col width="27.42578125" bestFit="1" customWidth="1" min="5" max="5"/>
    <col width="23" bestFit="1" customWidth="1" min="6" max="6"/>
    <col width="27.42578125" bestFit="1" customWidth="1" min="7" max="7"/>
    <col width="23" bestFit="1" customWidth="1" min="8" max="8"/>
    <col width="27.42578125" bestFit="1" customWidth="1" min="9" max="9"/>
    <col width="23" bestFit="1" customWidth="1" min="10" max="10"/>
    <col width="27.42578125" bestFit="1" customWidth="1" min="11" max="11"/>
    <col width="23" bestFit="1" customWidth="1" min="12" max="12"/>
    <col width="27.42578125" bestFit="1" customWidth="1" min="13" max="13"/>
    <col hidden="1" width="11.42578125" customWidth="1" min="30" max="16384"/>
  </cols>
  <sheetData>
    <row r="1">
      <c r="A1" s="65" t="inlineStr">
        <is>
          <t>UNIDAD GESTION GENERAL SAN ANDRES</t>
        </is>
      </c>
      <c r="B1" s="66" t="n"/>
      <c r="C1" s="66" t="n"/>
      <c r="D1" s="66" t="n"/>
      <c r="E1" s="66" t="n"/>
      <c r="F1" s="66" t="n"/>
      <c r="G1" s="66" t="n"/>
      <c r="H1" s="66" t="n"/>
      <c r="I1" s="66" t="n"/>
      <c r="J1" s="66" t="n"/>
      <c r="K1" s="66" t="n"/>
      <c r="L1" s="66" t="n"/>
      <c r="M1" s="67" t="n"/>
      <c r="P1" s="4" t="n"/>
      <c r="Q1" s="4" t="n"/>
    </row>
    <row r="2">
      <c r="A2" s="63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4" t="n"/>
      <c r="P2" s="4" t="n"/>
      <c r="Q2" s="4" t="n"/>
    </row>
    <row r="3">
      <c r="A3" s="69" t="inlineStr">
        <is>
          <t>CONCEPTO</t>
        </is>
      </c>
      <c r="B3" s="8" t="n">
        <v>2016</v>
      </c>
      <c r="C3" s="67" t="n"/>
      <c r="D3" s="8" t="n">
        <v>2017</v>
      </c>
      <c r="E3" s="67" t="n"/>
      <c r="F3" s="8" t="n">
        <v>2018</v>
      </c>
      <c r="G3" s="67" t="n"/>
      <c r="H3" s="8" t="n">
        <v>2019</v>
      </c>
      <c r="I3" s="67" t="n"/>
      <c r="J3" s="9" t="n">
        <v>2020</v>
      </c>
      <c r="K3" s="66" t="n"/>
      <c r="L3" s="8" t="n">
        <v>2021</v>
      </c>
      <c r="M3" s="67" t="n"/>
      <c r="P3" s="4" t="n"/>
      <c r="Q3" s="4" t="n"/>
    </row>
    <row r="4">
      <c r="A4" s="70" t="n"/>
      <c r="B4" s="13" t="inlineStr">
        <is>
          <t>Aforo vigente</t>
        </is>
      </c>
      <c r="C4" s="14" t="inlineStr">
        <is>
          <t>Recaudo efectivo acumulado</t>
        </is>
      </c>
      <c r="D4" s="13" t="inlineStr">
        <is>
          <t>Aforo vigente</t>
        </is>
      </c>
      <c r="E4" s="14" t="inlineStr">
        <is>
          <t>Recaudo efectivo acumulado</t>
        </is>
      </c>
      <c r="F4" s="13" t="inlineStr">
        <is>
          <t>Aforo vigente</t>
        </is>
      </c>
      <c r="G4" s="14" t="inlineStr">
        <is>
          <t>Recaudo efectivo acumulado</t>
        </is>
      </c>
      <c r="H4" s="13" t="inlineStr">
        <is>
          <t>Aforo vigente</t>
        </is>
      </c>
      <c r="I4" s="14" t="inlineStr">
        <is>
          <t>Recaudo efectivo acumulado</t>
        </is>
      </c>
      <c r="J4" s="13" t="inlineStr">
        <is>
          <t>Aforo vigente</t>
        </is>
      </c>
      <c r="K4" s="15" t="inlineStr">
        <is>
          <t>Recaudo efectivo acumulado</t>
        </is>
      </c>
      <c r="L4" s="13" t="inlineStr">
        <is>
          <t>Aforo vigente</t>
        </is>
      </c>
      <c r="M4" s="14" t="inlineStr">
        <is>
          <t>Recaudo efectivo acumulado</t>
        </is>
      </c>
      <c r="P4" s="4" t="n"/>
      <c r="Q4" s="4" t="n"/>
    </row>
    <row r="5" ht="18.75" customHeight="1">
      <c r="A5" s="16" t="inlineStr">
        <is>
          <t>GESTION GENERAL</t>
        </is>
      </c>
      <c r="B5" s="17">
        <f>+B6+B40</f>
        <v/>
      </c>
      <c r="C5" s="18">
        <f>+C6+C40</f>
        <v/>
      </c>
      <c r="D5" s="17">
        <f>+D6+D40</f>
        <v/>
      </c>
      <c r="E5" s="18">
        <f>+E6+E40</f>
        <v/>
      </c>
      <c r="F5" s="17">
        <f>+F6+F40</f>
        <v/>
      </c>
      <c r="G5" s="18">
        <f>+G6+G40</f>
        <v/>
      </c>
      <c r="H5" s="17">
        <f>+H6+H40</f>
        <v/>
      </c>
      <c r="I5" s="18">
        <f>+I6+I40</f>
        <v/>
      </c>
      <c r="J5" s="17">
        <f>+J6+J40</f>
        <v/>
      </c>
      <c r="K5" s="19">
        <f>+K6+K40</f>
        <v/>
      </c>
      <c r="L5" s="17">
        <f>+L6+L40</f>
        <v/>
      </c>
      <c r="M5" s="18">
        <f>+M6+M40</f>
        <v/>
      </c>
    </row>
    <row r="6" ht="15.75" customHeight="1">
      <c r="A6" s="20" t="inlineStr">
        <is>
          <t>- NIVEL CENTRAL</t>
        </is>
      </c>
      <c r="B6" s="21">
        <f>+B7+B35</f>
        <v/>
      </c>
      <c r="C6" s="22">
        <f>+C7+C35</f>
        <v/>
      </c>
      <c r="D6" s="21">
        <f>+D7+D35</f>
        <v/>
      </c>
      <c r="E6" s="22">
        <f>+E7+E35</f>
        <v/>
      </c>
      <c r="F6" s="21">
        <f>+F7+F35</f>
        <v/>
      </c>
      <c r="G6" s="22">
        <f>+G7+G35</f>
        <v/>
      </c>
      <c r="H6" s="21">
        <f>+H7+H35</f>
        <v/>
      </c>
      <c r="I6" s="22">
        <f>+I7+I35</f>
        <v/>
      </c>
      <c r="J6" s="21">
        <f>+J7+J35</f>
        <v/>
      </c>
      <c r="K6" s="23">
        <f>+K7+K35</f>
        <v/>
      </c>
      <c r="L6" s="21">
        <f>+L7+L35</f>
        <v/>
      </c>
      <c r="M6" s="22">
        <f>+M7+M35</f>
        <v/>
      </c>
    </row>
    <row r="7">
      <c r="A7" s="24" t="inlineStr">
        <is>
          <t xml:space="preserve">I. Recursos propios </t>
        </is>
      </c>
      <c r="B7" s="25">
        <f>+B8+B28</f>
        <v/>
      </c>
      <c r="C7" s="26">
        <f>+C8+C28</f>
        <v/>
      </c>
      <c r="D7" s="25">
        <f>+D8+D28</f>
        <v/>
      </c>
      <c r="E7" s="26">
        <f>+E8+E28</f>
        <v/>
      </c>
      <c r="F7" s="25">
        <f>+F8+F28</f>
        <v/>
      </c>
      <c r="G7" s="26">
        <f>+G8+G28</f>
        <v/>
      </c>
      <c r="H7" s="25">
        <f>+H8+H28</f>
        <v/>
      </c>
      <c r="I7" s="26">
        <f>+I8+I28</f>
        <v/>
      </c>
      <c r="J7" s="25">
        <f>+J8+J28</f>
        <v/>
      </c>
      <c r="K7" s="27">
        <f>+K8+K28</f>
        <v/>
      </c>
      <c r="L7" s="25">
        <f>+L8+L28</f>
        <v/>
      </c>
      <c r="M7" s="26">
        <f>+M8+M28</f>
        <v/>
      </c>
    </row>
    <row r="8" ht="15.75" customHeight="1">
      <c r="A8" s="28" t="inlineStr">
        <is>
          <t>1. Ingresos corrientes</t>
        </is>
      </c>
      <c r="B8" s="29">
        <f>+B9+B17+B19+B24</f>
        <v/>
      </c>
      <c r="C8" s="30">
        <f>+C9+C17+C19+C24</f>
        <v/>
      </c>
      <c r="D8" s="29">
        <f>+D9+D17+D19+D24</f>
        <v/>
      </c>
      <c r="E8" s="30">
        <f>+E9+E17+E19+E24</f>
        <v/>
      </c>
      <c r="F8" s="29">
        <f>+F9+F17+F19+F24</f>
        <v/>
      </c>
      <c r="G8" s="30">
        <f>+G9+G17+G19+G24</f>
        <v/>
      </c>
      <c r="H8" s="29">
        <f>+H9+H17+H19+H24</f>
        <v/>
      </c>
      <c r="I8" s="30">
        <f>+I9+I17+I19+I24</f>
        <v/>
      </c>
      <c r="J8" s="29">
        <f>+J9+J17+J19+J24</f>
        <v/>
      </c>
      <c r="K8" s="30">
        <f>+K9+K17+K19+K24</f>
        <v/>
      </c>
      <c r="L8" s="29">
        <f>+L9+L17+L19+L24</f>
        <v/>
      </c>
      <c r="M8" s="30">
        <f>+M9+M17+M19+M24</f>
        <v/>
      </c>
    </row>
    <row r="9" ht="15.75" customHeight="1">
      <c r="A9" s="31" t="inlineStr">
        <is>
          <t>SERVICIOS ACADÉMICOS PREGRADO</t>
        </is>
      </c>
      <c r="B9" s="32">
        <f>SUM(B10:B16)</f>
        <v/>
      </c>
      <c r="C9" s="33">
        <f>SUM(C10:C16)</f>
        <v/>
      </c>
      <c r="D9" s="32">
        <f>SUM(D10:D16)</f>
        <v/>
      </c>
      <c r="E9" s="33">
        <f>SUM(E10:E16)</f>
        <v/>
      </c>
      <c r="F9" s="32">
        <f>SUM(F10:F16)</f>
        <v/>
      </c>
      <c r="G9" s="33">
        <f>SUM(G10:G16)</f>
        <v/>
      </c>
      <c r="H9" s="32">
        <f>SUM(H10:H16)</f>
        <v/>
      </c>
      <c r="I9" s="33">
        <f>SUM(I10:I16)</f>
        <v/>
      </c>
      <c r="J9" s="32">
        <f>SUM(J10:J16)</f>
        <v/>
      </c>
      <c r="K9" s="33">
        <f>SUM(K10:K16)</f>
        <v/>
      </c>
      <c r="L9" s="32">
        <f>SUM(L10:L16)</f>
        <v/>
      </c>
      <c r="M9" s="33">
        <f>SUM(M10:M16)</f>
        <v/>
      </c>
    </row>
    <row r="10" outlineLevel="1" ht="15.75" customHeight="1">
      <c r="A10" s="34" t="inlineStr">
        <is>
          <t>Inscripciones pregrado</t>
        </is>
      </c>
      <c r="B10" s="35" t="n">
        <v>5424300</v>
      </c>
      <c r="C10" s="36" t="n">
        <v>5424300</v>
      </c>
      <c r="D10" s="35" t="n">
        <v>5739000</v>
      </c>
      <c r="E10" s="36" t="n">
        <v>5739000</v>
      </c>
      <c r="F10" s="35" t="n">
        <v>5980038</v>
      </c>
      <c r="G10" s="36" t="n">
        <v>5980038</v>
      </c>
      <c r="H10" s="35" t="n">
        <v>6177379</v>
      </c>
      <c r="I10" s="36" t="n">
        <v>6177379</v>
      </c>
      <c r="J10" s="35" t="n">
        <v>6177379</v>
      </c>
      <c r="K10" s="36" t="n">
        <v>4552409</v>
      </c>
      <c r="L10" s="35" t="n">
        <v>6177379</v>
      </c>
      <c r="M10" s="36" t="n">
        <v>3467601</v>
      </c>
    </row>
    <row r="11" outlineLevel="1" ht="15.75" customHeight="1">
      <c r="A11" s="34" t="inlineStr">
        <is>
          <t>Matrículas pregrado</t>
        </is>
      </c>
      <c r="B11" s="35" t="n">
        <v>1092558132</v>
      </c>
      <c r="C11" s="36" t="n">
        <v>1095229703</v>
      </c>
      <c r="D11" s="35" t="n">
        <v>35000000</v>
      </c>
      <c r="E11" s="36" t="n">
        <v>21000000</v>
      </c>
      <c r="F11" s="35" t="n">
        <v>48267638</v>
      </c>
      <c r="G11" s="36" t="n">
        <v>35018429</v>
      </c>
      <c r="H11" s="35" t="n">
        <v>31318590</v>
      </c>
      <c r="I11" s="36" t="n">
        <v>8064835</v>
      </c>
      <c r="J11" s="35" t="n">
        <v>13938480</v>
      </c>
      <c r="K11" s="36" t="n">
        <v>14762740</v>
      </c>
      <c r="L11" s="35" t="n">
        <v>15577143</v>
      </c>
      <c r="M11" s="36" t="n">
        <v>106228733</v>
      </c>
    </row>
    <row r="12" outlineLevel="1" ht="15.75" customHeight="1">
      <c r="A12" s="34" t="inlineStr">
        <is>
          <t>Sistematización matrícula pregrado</t>
        </is>
      </c>
      <c r="B12" s="35" t="n">
        <v>1669320</v>
      </c>
      <c r="C12" s="36" t="n">
        <v>2595463</v>
      </c>
      <c r="D12" s="35" t="n">
        <v>4700000</v>
      </c>
      <c r="E12" s="36" t="n">
        <v>4453915</v>
      </c>
      <c r="F12" s="35" t="n">
        <v>5773800</v>
      </c>
      <c r="G12" s="36" t="n">
        <v>5494468</v>
      </c>
      <c r="H12" s="35" t="n">
        <v>5590600</v>
      </c>
      <c r="I12" s="36" t="n">
        <v>1484350</v>
      </c>
      <c r="J12" s="35" t="n">
        <v>2832200</v>
      </c>
      <c r="K12" s="36" t="n">
        <v>5160834</v>
      </c>
      <c r="L12" s="35" t="n">
        <v>7074749</v>
      </c>
      <c r="M12" s="36" t="n">
        <v>6471161</v>
      </c>
    </row>
    <row r="13" outlineLevel="1" ht="15.75" customHeight="1">
      <c r="A13" s="34" t="inlineStr">
        <is>
          <t>Bienestar matricula pregrado</t>
        </is>
      </c>
      <c r="B13" s="35" t="n">
        <v>1290747</v>
      </c>
      <c r="C13" s="36" t="n">
        <v>2019887</v>
      </c>
      <c r="D13" s="35" t="n">
        <v>4500000</v>
      </c>
      <c r="E13" s="36" t="n">
        <v>3282722</v>
      </c>
      <c r="F13" s="35" t="n">
        <v>7563300</v>
      </c>
      <c r="G13" s="36" t="n">
        <v>4215059</v>
      </c>
      <c r="H13" s="35" t="n">
        <v>4378100</v>
      </c>
      <c r="I13" s="36" t="n">
        <v>973549</v>
      </c>
      <c r="J13" s="35" t="n">
        <v>1548800</v>
      </c>
      <c r="K13" s="36" t="n">
        <v>3370229</v>
      </c>
      <c r="L13" s="35" t="n">
        <v>5659799</v>
      </c>
      <c r="M13" s="36" t="n">
        <v>7811785</v>
      </c>
    </row>
    <row r="14" outlineLevel="1" ht="15.75" customHeight="1">
      <c r="A14" s="34" t="inlineStr">
        <is>
          <t>TRANSFERENCIAS MATRÍCULAS DE PREGRADO DE  SEDES ANDINAS</t>
        </is>
      </c>
      <c r="B14" s="35" t="n"/>
      <c r="C14" s="36" t="n"/>
      <c r="D14" s="35" t="n">
        <v>1193346664</v>
      </c>
      <c r="E14" s="36" t="n">
        <v>1193346664</v>
      </c>
      <c r="F14" s="35" t="n">
        <v>1148420900</v>
      </c>
      <c r="G14" s="36" t="n">
        <v>1148420900</v>
      </c>
      <c r="H14" s="35" t="n"/>
      <c r="I14" s="36" t="n"/>
      <c r="J14" s="35" t="n"/>
      <c r="K14" s="36" t="n"/>
      <c r="L14" s="35" t="n"/>
      <c r="M14" s="36" t="n"/>
    </row>
    <row r="15" outlineLevel="1" ht="15.75" customHeight="1">
      <c r="A15" s="34" t="inlineStr">
        <is>
          <t>PROGRAMA SER PILO PAGA</t>
        </is>
      </c>
      <c r="B15" s="35" t="n"/>
      <c r="C15" s="36" t="n"/>
      <c r="D15" s="35" t="n"/>
      <c r="E15" s="36" t="n"/>
      <c r="F15" s="35" t="n">
        <v>34705</v>
      </c>
      <c r="G15" s="36" t="n">
        <v>1398861</v>
      </c>
      <c r="H15" s="35" t="n">
        <v>1225184686</v>
      </c>
      <c r="I15" s="36" t="n">
        <v>1224003436</v>
      </c>
      <c r="J15" s="35" t="n">
        <v>1314367128</v>
      </c>
      <c r="K15" s="36" t="n">
        <v>1314367128</v>
      </c>
      <c r="L15" s="35" t="n">
        <v>1263671992</v>
      </c>
      <c r="M15" s="36" t="n">
        <v>1263671992</v>
      </c>
    </row>
    <row r="16" outlineLevel="1" ht="15.75" customHeight="1">
      <c r="A16" s="34" t="inlineStr">
        <is>
          <t>PROGRAMACION GENERACION EXCELENCIA</t>
        </is>
      </c>
      <c r="B16" s="35" t="n"/>
      <c r="C16" s="36" t="n"/>
      <c r="D16" s="35" t="n"/>
      <c r="E16" s="36" t="n"/>
      <c r="F16" s="35" t="n"/>
      <c r="G16" s="36" t="n"/>
      <c r="H16" s="35" t="n"/>
      <c r="I16" s="36" t="n"/>
      <c r="J16" s="35" t="n">
        <v>98673</v>
      </c>
      <c r="K16" s="36" t="n">
        <v>0</v>
      </c>
      <c r="L16" s="35" t="n">
        <v>1021068</v>
      </c>
      <c r="M16" s="36" t="n">
        <v>17123238</v>
      </c>
    </row>
    <row r="17" ht="15.75" customHeight="1">
      <c r="A17" s="31" t="inlineStr">
        <is>
          <t>SERVICIOS ACADÉMICOS POSGRADO</t>
        </is>
      </c>
      <c r="B17" s="32">
        <f>SUM(B18:B18)</f>
        <v/>
      </c>
      <c r="C17" s="33">
        <f>SUM(C18:C18)</f>
        <v/>
      </c>
      <c r="D17" s="32">
        <f>SUM(D18:D18)</f>
        <v/>
      </c>
      <c r="E17" s="33">
        <f>SUM(E18:E18)</f>
        <v/>
      </c>
      <c r="F17" s="32">
        <f>SUM(F18:F18)</f>
        <v/>
      </c>
      <c r="G17" s="33">
        <f>SUM(G18:G18)</f>
        <v/>
      </c>
      <c r="H17" s="32">
        <f>SUM(H18:H18)</f>
        <v/>
      </c>
      <c r="I17" s="33">
        <f>SUM(I18:I18)</f>
        <v/>
      </c>
      <c r="J17" s="32">
        <f>SUM(J18:J18)</f>
        <v/>
      </c>
      <c r="K17" s="33">
        <f>SUM(K18:K18)</f>
        <v/>
      </c>
      <c r="L17" s="32">
        <f>SUM(L18:L18)</f>
        <v/>
      </c>
      <c r="M17" s="33">
        <f>SUM(M18:M18)</f>
        <v/>
      </c>
    </row>
    <row r="18" outlineLevel="1" ht="15.75" customHeight="1">
      <c r="A18" s="37" t="inlineStr">
        <is>
          <t>Derechos administrativos de posgrado</t>
        </is>
      </c>
      <c r="B18" s="37" t="n">
        <v>35542440</v>
      </c>
      <c r="C18" s="38" t="n">
        <v>11585045</v>
      </c>
      <c r="D18" s="37" t="n">
        <v>30542460</v>
      </c>
      <c r="E18" s="38" t="n">
        <v>0</v>
      </c>
      <c r="F18" s="37" t="n">
        <v>32912800</v>
      </c>
      <c r="G18" s="38" t="n">
        <v>28063274</v>
      </c>
      <c r="H18" s="37" t="n">
        <v>36092800</v>
      </c>
      <c r="I18" s="38" t="n">
        <v>12214770</v>
      </c>
      <c r="J18" s="37" t="n">
        <v>26772900</v>
      </c>
      <c r="K18" s="38" t="n">
        <v>26452545</v>
      </c>
      <c r="L18" s="37" t="n">
        <v>16430220</v>
      </c>
      <c r="M18" s="38" t="n">
        <v>9266904</v>
      </c>
    </row>
    <row r="19" ht="15.75" customHeight="1">
      <c r="A19" s="31" t="inlineStr">
        <is>
          <t>OTROS INGRESOS</t>
        </is>
      </c>
      <c r="B19" s="32">
        <f>SUM(B20:B23)</f>
        <v/>
      </c>
      <c r="C19" s="33">
        <f>SUM(C20:C23)</f>
        <v/>
      </c>
      <c r="D19" s="32">
        <f>SUM(D20:D23)</f>
        <v/>
      </c>
      <c r="E19" s="33">
        <f>SUM(E20:E23)</f>
        <v/>
      </c>
      <c r="F19" s="32">
        <f>SUM(F20:F23)</f>
        <v/>
      </c>
      <c r="G19" s="33">
        <f>SUM(G20:G23)</f>
        <v/>
      </c>
      <c r="H19" s="32">
        <f>SUM(H20:H23)</f>
        <v/>
      </c>
      <c r="I19" s="33">
        <f>SUM(I20:I23)</f>
        <v/>
      </c>
      <c r="J19" s="32">
        <f>SUM(J20:J23)</f>
        <v/>
      </c>
      <c r="K19" s="33">
        <f>SUM(K20:K23)</f>
        <v/>
      </c>
      <c r="L19" s="32">
        <f>SUM(L20:L23)</f>
        <v/>
      </c>
      <c r="M19" s="33">
        <f>SUM(M20:M23)</f>
        <v/>
      </c>
    </row>
    <row r="20" outlineLevel="1" ht="15.75" customHeight="1">
      <c r="A20" s="34" t="inlineStr">
        <is>
          <t>Devolución iva</t>
        </is>
      </c>
      <c r="B20" s="35" t="n">
        <v>9000000</v>
      </c>
      <c r="C20" s="36" t="n">
        <v>4710914</v>
      </c>
      <c r="D20" s="35" t="n">
        <v>6200000</v>
      </c>
      <c r="E20" s="36" t="n">
        <v>16283706</v>
      </c>
      <c r="F20" s="35" t="n">
        <v>14196200</v>
      </c>
      <c r="G20" s="36" t="n">
        <v>13510753</v>
      </c>
      <c r="H20" s="35" t="n">
        <v>14395300</v>
      </c>
      <c r="I20" s="36" t="n">
        <v>7598874</v>
      </c>
      <c r="J20" s="35" t="n">
        <v>8423500</v>
      </c>
      <c r="K20" s="36" t="n">
        <v>8936830</v>
      </c>
      <c r="L20" s="35" t="n">
        <v>8748684</v>
      </c>
      <c r="M20" s="36" t="n">
        <v>2983841</v>
      </c>
    </row>
    <row r="21" outlineLevel="1" ht="15.75" customHeight="1">
      <c r="A21" s="34" t="inlineStr">
        <is>
          <t>Expedición de documentos y certificaciones servidores públicos</t>
        </is>
      </c>
      <c r="B21" s="35" t="n">
        <v>60000</v>
      </c>
      <c r="C21" s="36" t="n">
        <v>78900</v>
      </c>
      <c r="D21" s="35" t="n">
        <v>57000</v>
      </c>
      <c r="E21" s="36" t="n">
        <v>72700</v>
      </c>
      <c r="F21" s="35" t="n">
        <v>80000</v>
      </c>
      <c r="G21" s="36" t="n">
        <v>26000</v>
      </c>
      <c r="H21" s="35" t="n">
        <v>0</v>
      </c>
      <c r="I21" s="36" t="n">
        <v>116200</v>
      </c>
      <c r="J21" s="35" t="n">
        <v>44000</v>
      </c>
      <c r="K21" s="36" t="n">
        <v>94900</v>
      </c>
      <c r="L21" s="35" t="n">
        <v>65000</v>
      </c>
      <c r="M21" s="36" t="n">
        <v>138700</v>
      </c>
    </row>
    <row r="22" outlineLevel="1" ht="15.75" customHeight="1">
      <c r="A22" s="34" t="inlineStr">
        <is>
          <t>Otros</t>
        </is>
      </c>
      <c r="B22" s="35" t="n">
        <v>0</v>
      </c>
      <c r="C22" s="36" t="n">
        <v>4636011</v>
      </c>
      <c r="D22" s="35" t="n">
        <v>0</v>
      </c>
      <c r="E22" s="36" t="n">
        <v>0</v>
      </c>
      <c r="F22" s="35" t="n"/>
      <c r="G22" s="36" t="n"/>
      <c r="H22" s="35" t="n">
        <v>0</v>
      </c>
      <c r="I22" s="36" t="n">
        <v>14372000</v>
      </c>
      <c r="J22" s="35" t="n">
        <v>0</v>
      </c>
      <c r="K22" s="36" t="n">
        <v>2692</v>
      </c>
      <c r="L22" s="35" t="n"/>
      <c r="M22" s="36" t="n"/>
    </row>
    <row r="23" outlineLevel="1" ht="15.75" customHeight="1">
      <c r="A23" s="34" t="inlineStr">
        <is>
          <t>Recuperaciones</t>
        </is>
      </c>
      <c r="B23" s="35" t="n"/>
      <c r="C23" s="36" t="n"/>
      <c r="D23" s="35" t="n"/>
      <c r="E23" s="36" t="n"/>
      <c r="F23" s="35" t="n">
        <v>1200000</v>
      </c>
      <c r="G23" s="36" t="n">
        <v>0</v>
      </c>
      <c r="H23" s="35" t="n">
        <v>0</v>
      </c>
      <c r="I23" s="36" t="n">
        <v>38000000</v>
      </c>
      <c r="J23" s="35" t="n"/>
      <c r="K23" s="36" t="n"/>
      <c r="L23" s="35" t="n"/>
      <c r="M23" s="36" t="n"/>
    </row>
    <row r="24" ht="15.75" customHeight="1">
      <c r="A24" s="31" t="inlineStr">
        <is>
          <t>TRANSFERENCIAS OPERACIONES INTERNAS SIN CONTRAPRESTACIÓN</t>
        </is>
      </c>
      <c r="B24" s="32">
        <f>SUM(B25:B27)</f>
        <v/>
      </c>
      <c r="C24" s="33">
        <f>SUM(C25:C27)</f>
        <v/>
      </c>
      <c r="D24" s="32">
        <f>SUM(D25:D27)</f>
        <v/>
      </c>
      <c r="E24" s="33">
        <f>SUM(E25:E27)</f>
        <v/>
      </c>
      <c r="F24" s="32">
        <f>SUM(F25:F27)</f>
        <v/>
      </c>
      <c r="G24" s="33">
        <f>SUM(G25:G27)</f>
        <v/>
      </c>
      <c r="H24" s="32">
        <f>SUM(H25:H27)</f>
        <v/>
      </c>
      <c r="I24" s="33">
        <f>SUM(I25:I27)</f>
        <v/>
      </c>
      <c r="J24" s="32">
        <f>SUM(J25:J27)</f>
        <v/>
      </c>
      <c r="K24" s="33">
        <f>SUM(K25:K27)</f>
        <v/>
      </c>
      <c r="L24" s="32">
        <f>SUM(L25:L27)</f>
        <v/>
      </c>
      <c r="M24" s="33">
        <f>SUM(M25:M27)</f>
        <v/>
      </c>
    </row>
    <row r="25" outlineLevel="1" ht="15.75" customHeight="1">
      <c r="A25" s="39" t="inlineStr">
        <is>
          <t>Transferencias o.i. sin contraprestación</t>
        </is>
      </c>
      <c r="B25" s="40" t="n">
        <v>50000000</v>
      </c>
      <c r="C25" s="41" t="n">
        <v>0</v>
      </c>
      <c r="D25" s="40" t="n"/>
      <c r="E25" s="41" t="n"/>
      <c r="F25" s="40" t="n"/>
      <c r="G25" s="41" t="n"/>
      <c r="H25" s="40" t="n"/>
      <c r="I25" s="41" t="n"/>
      <c r="J25" s="40" t="n"/>
      <c r="K25" s="41" t="n"/>
      <c r="L25" s="40" t="n"/>
      <c r="M25" s="41" t="n"/>
    </row>
    <row r="26" outlineLevel="1" ht="15.75" customHeight="1">
      <c r="A26" s="39" t="inlineStr">
        <is>
          <t>Transferencias o.i  fondo de investigación - ugi</t>
        </is>
      </c>
      <c r="B26" s="40" t="n">
        <v>116939200</v>
      </c>
      <c r="C26" s="41" t="n">
        <v>116939200</v>
      </c>
      <c r="D26" s="40" t="n">
        <v>69819600</v>
      </c>
      <c r="E26" s="41" t="n">
        <v>69819600</v>
      </c>
      <c r="F26" s="40" t="n">
        <v>92500000</v>
      </c>
      <c r="G26" s="41" t="n">
        <v>92500000</v>
      </c>
      <c r="H26" s="40" t="n">
        <v>30000000</v>
      </c>
      <c r="I26" s="41" t="n">
        <v>30000000</v>
      </c>
      <c r="J26" s="40" t="n"/>
      <c r="K26" s="41" t="n"/>
      <c r="L26" s="40" t="n">
        <v>116000000</v>
      </c>
      <c r="M26" s="41" t="n">
        <v>116000000</v>
      </c>
    </row>
    <row r="27" outlineLevel="1" ht="15.75" customHeight="1">
      <c r="A27" s="39" t="inlineStr">
        <is>
          <t>Transferencias o.i. costos indirectos</t>
        </is>
      </c>
      <c r="B27" s="40" t="n">
        <v>10000000</v>
      </c>
      <c r="C27" s="41" t="n">
        <v>73910914</v>
      </c>
      <c r="D27" s="40" t="n">
        <v>736595</v>
      </c>
      <c r="E27" s="41" t="n">
        <v>1122160</v>
      </c>
      <c r="F27" s="40" t="n">
        <v>5093800</v>
      </c>
      <c r="G27" s="41" t="n">
        <v>662884</v>
      </c>
      <c r="H27" s="40" t="n">
        <v>3171700</v>
      </c>
      <c r="I27" s="41" t="n">
        <v>10476813</v>
      </c>
      <c r="J27" s="40" t="n">
        <v>5178700</v>
      </c>
      <c r="K27" s="41" t="n">
        <v>32220008</v>
      </c>
      <c r="L27" s="40" t="n">
        <v>1504530</v>
      </c>
      <c r="M27" s="41" t="n">
        <v>16001317</v>
      </c>
    </row>
    <row r="28" ht="15.75" customHeight="1">
      <c r="A28" s="28" t="inlineStr">
        <is>
          <t>2. Recursos de capital</t>
        </is>
      </c>
      <c r="B28" s="29">
        <f>+B29+B31</f>
        <v/>
      </c>
      <c r="C28" s="30">
        <f>+C29+C31</f>
        <v/>
      </c>
      <c r="D28" s="29">
        <f>+D29+D31</f>
        <v/>
      </c>
      <c r="E28" s="30">
        <f>+E29+E31</f>
        <v/>
      </c>
      <c r="F28" s="29">
        <f>+F29+F31</f>
        <v/>
      </c>
      <c r="G28" s="30">
        <f>+G29+G31</f>
        <v/>
      </c>
      <c r="H28" s="29">
        <f>+H29+H31</f>
        <v/>
      </c>
      <c r="I28" s="30">
        <f>+I29+I31</f>
        <v/>
      </c>
      <c r="J28" s="29">
        <f>+J29+J31</f>
        <v/>
      </c>
      <c r="K28" s="30">
        <f>+K29+K31</f>
        <v/>
      </c>
      <c r="L28" s="29">
        <f>+L29+L31</f>
        <v/>
      </c>
      <c r="M28" s="30">
        <f>+M29+M31</f>
        <v/>
      </c>
      <c r="P28" s="4" t="n"/>
    </row>
    <row r="29" ht="15.75" customHeight="1">
      <c r="A29" s="42" t="inlineStr">
        <is>
          <t>RENDIMIENTOS FINANCIEROS</t>
        </is>
      </c>
      <c r="B29" s="42">
        <f>SUM(B30:B30)</f>
        <v/>
      </c>
      <c r="C29" s="43">
        <f>SUM(C30:C30)</f>
        <v/>
      </c>
      <c r="D29" s="42">
        <f>SUM(D30:D30)</f>
        <v/>
      </c>
      <c r="E29" s="43">
        <f>SUM(E30:E30)</f>
        <v/>
      </c>
      <c r="F29" s="42">
        <f>SUM(F30:F30)</f>
        <v/>
      </c>
      <c r="G29" s="43">
        <f>SUM(G30:G30)</f>
        <v/>
      </c>
      <c r="H29" s="42">
        <f>SUM(H30:H30)</f>
        <v/>
      </c>
      <c r="I29" s="43">
        <f>SUM(I30:I30)</f>
        <v/>
      </c>
      <c r="J29" s="42">
        <f>SUM(J30:J30)</f>
        <v/>
      </c>
      <c r="K29" s="43">
        <f>SUM(K30:K30)</f>
        <v/>
      </c>
      <c r="L29" s="42">
        <f>SUM(L30:L30)</f>
        <v/>
      </c>
      <c r="M29" s="43">
        <f>SUM(M30:M30)</f>
        <v/>
      </c>
      <c r="P29" s="4" t="n"/>
    </row>
    <row r="30" outlineLevel="1" ht="15.75" customHeight="1">
      <c r="A30" s="40" t="inlineStr">
        <is>
          <t>Rendimientos  entidades financieras</t>
        </is>
      </c>
      <c r="B30" s="40" t="n">
        <v>15000000</v>
      </c>
      <c r="C30" s="41" t="n">
        <v>20468096</v>
      </c>
      <c r="D30" s="40" t="n">
        <v>20000000</v>
      </c>
      <c r="E30" s="41" t="n">
        <v>46861593</v>
      </c>
      <c r="F30" s="40" t="n">
        <v>32000000</v>
      </c>
      <c r="G30" s="41" t="n">
        <v>45696028</v>
      </c>
      <c r="H30" s="40" t="n">
        <v>26919712</v>
      </c>
      <c r="I30" s="41" t="n">
        <v>30282358</v>
      </c>
      <c r="J30" s="40" t="n">
        <v>25470000</v>
      </c>
      <c r="K30" s="41" t="n">
        <v>42712156</v>
      </c>
      <c r="L30" s="40" t="n">
        <v>30000000</v>
      </c>
      <c r="M30" s="41" t="n">
        <v>27150034</v>
      </c>
      <c r="P30" s="4" t="n"/>
    </row>
    <row r="31" ht="15.75" customHeight="1">
      <c r="A31" s="42" t="inlineStr">
        <is>
          <t>EXCEDENTES FINANCIEROS</t>
        </is>
      </c>
      <c r="B31" s="42">
        <f>SUM(B32:B34)</f>
        <v/>
      </c>
      <c r="C31" s="43">
        <f>SUM(C32:C34)</f>
        <v/>
      </c>
      <c r="D31" s="42">
        <f>SUM(D32:D34)</f>
        <v/>
      </c>
      <c r="E31" s="43">
        <f>SUM(E32:E34)</f>
        <v/>
      </c>
      <c r="F31" s="42">
        <f>SUM(F32:F34)</f>
        <v/>
      </c>
      <c r="G31" s="43">
        <f>SUM(G32:G34)</f>
        <v/>
      </c>
      <c r="H31" s="42">
        <f>SUM(H32:H34)</f>
        <v/>
      </c>
      <c r="I31" s="43">
        <f>SUM(I32:I34)</f>
        <v/>
      </c>
      <c r="J31" s="42">
        <f>SUM(J32:J34)</f>
        <v/>
      </c>
      <c r="K31" s="43">
        <f>SUM(K32:K34)</f>
        <v/>
      </c>
      <c r="L31" s="42">
        <f>SUM(L32:L34)</f>
        <v/>
      </c>
      <c r="M31" s="43">
        <f>SUM(M32:M34)</f>
        <v/>
      </c>
      <c r="P31" s="4" t="n"/>
      <c r="Q31" s="4" t="n"/>
    </row>
    <row r="32" outlineLevel="1" ht="15.75" customHeight="1">
      <c r="A32" s="40" t="inlineStr">
        <is>
          <t>Excedentes financieros -  gestión general</t>
        </is>
      </c>
      <c r="B32" s="40" t="n">
        <v>385077469</v>
      </c>
      <c r="C32" s="41" t="n">
        <v>266803469</v>
      </c>
      <c r="D32" s="40" t="n">
        <v>500850356</v>
      </c>
      <c r="E32" s="41" t="n">
        <v>500850356</v>
      </c>
      <c r="F32" s="40" t="n">
        <v>611839334</v>
      </c>
      <c r="G32" s="41" t="n">
        <v>611839334</v>
      </c>
      <c r="H32" s="40" t="n">
        <v>309653724</v>
      </c>
      <c r="I32" s="41" t="n">
        <v>310235313</v>
      </c>
      <c r="J32" s="40" t="n">
        <v>653135702</v>
      </c>
      <c r="K32" s="41" t="n">
        <v>653135702</v>
      </c>
      <c r="L32" s="40" t="n">
        <v>733940461</v>
      </c>
      <c r="M32" s="41" t="n">
        <v>733940461</v>
      </c>
      <c r="P32" s="4" t="n"/>
      <c r="Q32" s="4" t="n"/>
    </row>
    <row r="33" outlineLevel="1" ht="15.75" customHeight="1">
      <c r="A33" s="40" t="inlineStr">
        <is>
          <t>Excedentes financieros - nivel nacional</t>
        </is>
      </c>
      <c r="B33" s="37" t="n"/>
      <c r="C33" s="38" t="n"/>
      <c r="D33" s="37" t="n"/>
      <c r="E33" s="38" t="n"/>
      <c r="F33" s="37" t="n">
        <v>43100000</v>
      </c>
      <c r="G33" s="38" t="n">
        <v>43100000</v>
      </c>
      <c r="H33" s="37" t="n"/>
      <c r="I33" s="38" t="n"/>
      <c r="J33" s="37" t="n"/>
      <c r="K33" s="38" t="n"/>
      <c r="L33" s="37" t="n"/>
      <c r="M33" s="38" t="n"/>
      <c r="P33" s="4" t="n"/>
      <c r="Q33" s="4" t="n"/>
    </row>
    <row r="34" outlineLevel="1" ht="15.75" customHeight="1">
      <c r="A34" s="44" t="inlineStr">
        <is>
          <t>Excedentes financieros - ugi nivel nacional</t>
        </is>
      </c>
      <c r="B34" s="45" t="n"/>
      <c r="C34" s="46" t="n"/>
      <c r="D34" s="45" t="n"/>
      <c r="E34" s="46" t="n"/>
      <c r="F34" s="45" t="n"/>
      <c r="G34" s="46" t="n"/>
      <c r="H34" s="45" t="n"/>
      <c r="I34" s="46" t="n"/>
      <c r="J34" s="45" t="n">
        <v>13654764</v>
      </c>
      <c r="K34" s="46" t="n">
        <v>13654764</v>
      </c>
      <c r="L34" s="45" t="n"/>
      <c r="M34" s="46" t="n"/>
      <c r="P34" s="4" t="n"/>
      <c r="Q34" s="4" t="n"/>
    </row>
    <row r="35" ht="15.75" customHeight="1">
      <c r="A35" s="47" t="inlineStr">
        <is>
          <t>III. Aportes Nación</t>
        </is>
      </c>
      <c r="B35" s="48">
        <f>+B36+B38</f>
        <v/>
      </c>
      <c r="C35" s="49">
        <f>+C36+C38</f>
        <v/>
      </c>
      <c r="D35" s="48">
        <f>+D36+D38</f>
        <v/>
      </c>
      <c r="E35" s="49">
        <f>+E36+E38</f>
        <v/>
      </c>
      <c r="F35" s="48">
        <f>+F36+F38</f>
        <v/>
      </c>
      <c r="G35" s="49">
        <f>+G36+G38</f>
        <v/>
      </c>
      <c r="H35" s="48">
        <f>+H36+H38</f>
        <v/>
      </c>
      <c r="I35" s="49">
        <f>+I36+I38</f>
        <v/>
      </c>
      <c r="J35" s="48">
        <f>+J36+J38</f>
        <v/>
      </c>
      <c r="K35" s="49">
        <f>+K36+K38</f>
        <v/>
      </c>
      <c r="L35" s="48">
        <f>+L36+L38</f>
        <v/>
      </c>
      <c r="M35" s="49">
        <f>+M36+M38</f>
        <v/>
      </c>
      <c r="P35" s="4" t="n"/>
      <c r="Q35" s="4" t="n"/>
    </row>
    <row r="36" ht="15.75" customHeight="1">
      <c r="A36" s="42" t="inlineStr">
        <is>
          <t>FUNCIONAMIENTO</t>
        </is>
      </c>
      <c r="B36" s="42">
        <f>SUM(B37:B37)</f>
        <v/>
      </c>
      <c r="C36" s="50">
        <f>SUM(C37:C37)</f>
        <v/>
      </c>
      <c r="D36" s="42">
        <f>SUM(D37:D37)</f>
        <v/>
      </c>
      <c r="E36" s="50">
        <f>SUM(E37:E37)</f>
        <v/>
      </c>
      <c r="F36" s="42">
        <f>SUM(F37:F37)</f>
        <v/>
      </c>
      <c r="G36" s="50">
        <f>SUM(G37:G37)</f>
        <v/>
      </c>
      <c r="H36" s="42">
        <f>SUM(H37:H37)</f>
        <v/>
      </c>
      <c r="I36" s="50">
        <f>SUM(I37:I37)</f>
        <v/>
      </c>
      <c r="J36" s="42">
        <f>SUM(J37:J37)</f>
        <v/>
      </c>
      <c r="K36" s="50">
        <f>SUM(K37:K37)</f>
        <v/>
      </c>
      <c r="L36" s="42">
        <f>SUM(L37:L37)</f>
        <v/>
      </c>
      <c r="M36" s="50">
        <f>SUM(M37:M37)</f>
        <v/>
      </c>
      <c r="P36" s="4" t="n"/>
      <c r="Q36" s="4" t="n"/>
    </row>
    <row r="37" outlineLevel="1" ht="15.75" customHeight="1">
      <c r="A37" s="51" t="inlineStr">
        <is>
          <t>Gastos de personal</t>
        </is>
      </c>
      <c r="B37" s="51" t="n">
        <v>2868854152</v>
      </c>
      <c r="C37" s="52" t="n">
        <v>2868854152</v>
      </c>
      <c r="D37" s="51" t="n">
        <v>3126603969</v>
      </c>
      <c r="E37" s="52" t="n">
        <v>3126603969</v>
      </c>
      <c r="F37" s="51" t="n">
        <v>3339916852</v>
      </c>
      <c r="G37" s="52" t="n">
        <v>3339916852</v>
      </c>
      <c r="H37" s="51" t="n">
        <v>3480535152</v>
      </c>
      <c r="I37" s="52" t="n">
        <v>3480535152</v>
      </c>
      <c r="J37" s="51" t="n">
        <v>3589620651</v>
      </c>
      <c r="K37" s="52" t="n">
        <v>3589620651</v>
      </c>
      <c r="L37" s="51" t="n">
        <v>3885523119</v>
      </c>
      <c r="M37" s="52" t="n">
        <v>3885523119</v>
      </c>
      <c r="O37" s="53" t="n"/>
      <c r="P37" s="4" t="n"/>
      <c r="Q37" s="4" t="n"/>
      <c r="T37" s="53" t="n"/>
      <c r="U37" s="53" t="n"/>
      <c r="V37" s="53" t="n"/>
      <c r="W37" s="53" t="n"/>
      <c r="X37" s="53" t="n"/>
      <c r="Y37" s="53" t="n"/>
      <c r="Z37" s="53" t="n"/>
      <c r="AA37" s="53" t="n"/>
    </row>
    <row r="38" ht="15.75" customHeight="1">
      <c r="A38" s="42" t="inlineStr">
        <is>
          <t>INVERSIÓN</t>
        </is>
      </c>
      <c r="B38" s="54">
        <f>SUM(B39:B39)</f>
        <v/>
      </c>
      <c r="C38" s="50">
        <f>SUM(C39:C39)</f>
        <v/>
      </c>
      <c r="D38" s="54">
        <f>SUM(D39:D39)</f>
        <v/>
      </c>
      <c r="E38" s="50">
        <f>SUM(E39:E39)</f>
        <v/>
      </c>
      <c r="F38" s="54">
        <f>SUM(F39:F39)</f>
        <v/>
      </c>
      <c r="G38" s="50">
        <f>SUM(G39:G39)</f>
        <v/>
      </c>
      <c r="H38" s="54">
        <f>SUM(H39:H39)</f>
        <v/>
      </c>
      <c r="I38" s="50">
        <f>SUM(I39:I39)</f>
        <v/>
      </c>
      <c r="J38" s="54">
        <f>SUM(J39:J39)</f>
        <v/>
      </c>
      <c r="K38" s="50">
        <f>SUM(K39:K39)</f>
        <v/>
      </c>
      <c r="L38" s="54">
        <f>SUM(L39:L39)</f>
        <v/>
      </c>
      <c r="M38" s="50">
        <f>SUM(M39:M39)</f>
        <v/>
      </c>
      <c r="P38" s="4" t="n"/>
      <c r="Q38" s="4" t="n"/>
    </row>
    <row r="39" outlineLevel="1" ht="15.75" customHeight="1">
      <c r="A39" s="40" t="inlineStr">
        <is>
          <t>Inversión</t>
        </is>
      </c>
      <c r="B39" s="40" t="n">
        <v>777916666</v>
      </c>
      <c r="C39" s="41" t="n">
        <v>777916666</v>
      </c>
      <c r="D39" s="40" t="n">
        <v>821929167</v>
      </c>
      <c r="E39" s="41" t="n">
        <v>821929167</v>
      </c>
      <c r="F39" s="40" t="n">
        <v>832079167</v>
      </c>
      <c r="G39" s="41" t="n">
        <v>832079167</v>
      </c>
      <c r="H39" s="40" t="n">
        <v>1401812085</v>
      </c>
      <c r="I39" s="41" t="n">
        <v>1401812085</v>
      </c>
      <c r="J39" s="40" t="n">
        <v>1896900289</v>
      </c>
      <c r="K39" s="41" t="n">
        <v>1896900289</v>
      </c>
      <c r="L39" s="40" t="n">
        <v>1726823374</v>
      </c>
      <c r="M39" s="41" t="n">
        <v>1726823374</v>
      </c>
      <c r="O39" s="4" t="n"/>
      <c r="P39" s="4" t="n"/>
      <c r="Q39" s="4" t="n"/>
    </row>
    <row r="40" ht="15.75" customHeight="1">
      <c r="A40" s="55" t="inlineStr">
        <is>
          <t>- FONDOS ESPECIALES</t>
        </is>
      </c>
      <c r="B40" s="56">
        <f>+B41</f>
        <v/>
      </c>
      <c r="C40" s="57">
        <f>+C41</f>
        <v/>
      </c>
      <c r="D40" s="56">
        <f>+D41</f>
        <v/>
      </c>
      <c r="E40" s="57">
        <f>+E41</f>
        <v/>
      </c>
      <c r="F40" s="56">
        <f>+F41</f>
        <v/>
      </c>
      <c r="G40" s="57">
        <f>+G41</f>
        <v/>
      </c>
      <c r="H40" s="56">
        <f>+H41</f>
        <v/>
      </c>
      <c r="I40" s="57">
        <f>+I41</f>
        <v/>
      </c>
      <c r="J40" s="56">
        <f>+J41</f>
        <v/>
      </c>
      <c r="K40" s="57">
        <f>+K41</f>
        <v/>
      </c>
      <c r="L40" s="56">
        <f>+L41</f>
        <v/>
      </c>
      <c r="M40" s="57">
        <f>+M41</f>
        <v/>
      </c>
      <c r="O40" s="4" t="n"/>
    </row>
    <row r="41" ht="15.75" customHeight="1">
      <c r="A41" s="58" t="inlineStr">
        <is>
          <t xml:space="preserve">I. Recursos propios </t>
        </is>
      </c>
      <c r="B41" s="59">
        <f>+B42+B85</f>
        <v/>
      </c>
      <c r="C41" s="60">
        <f>+C42+C85</f>
        <v/>
      </c>
      <c r="D41" s="59">
        <f>+D42+D85</f>
        <v/>
      </c>
      <c r="E41" s="60">
        <f>+E42+E85</f>
        <v/>
      </c>
      <c r="F41" s="59">
        <f>+F42+F85</f>
        <v/>
      </c>
      <c r="G41" s="60">
        <f>+G42+G85</f>
        <v/>
      </c>
      <c r="H41" s="59">
        <f>+H42+H85</f>
        <v/>
      </c>
      <c r="I41" s="60">
        <f>+I42+I85</f>
        <v/>
      </c>
      <c r="J41" s="59">
        <f>+J42+J85</f>
        <v/>
      </c>
      <c r="K41" s="60">
        <f>+K42+K85</f>
        <v/>
      </c>
      <c r="L41" s="59">
        <f>+L42+L85</f>
        <v/>
      </c>
      <c r="M41" s="60">
        <f>+M42+M85</f>
        <v/>
      </c>
      <c r="P41" s="4" t="n"/>
    </row>
    <row r="42" ht="15.75" customHeight="1">
      <c r="A42" s="28" t="inlineStr">
        <is>
          <t>1. Ingresos corrientes</t>
        </is>
      </c>
      <c r="B42" s="29">
        <f>+B43+B46+B53+B58+B60+B63+B65+B67+B73+B79+B81+B83</f>
        <v/>
      </c>
      <c r="C42" s="30">
        <f>+C43+C46+C53+C58+C60+C63+C65+C67+C73+C79+C81+C83</f>
        <v/>
      </c>
      <c r="D42" s="29">
        <f>+D43+D46+D53+D58+D60+D63+D65+D67+D73+D79+D81+D83</f>
        <v/>
      </c>
      <c r="E42" s="30">
        <f>+E43+E46+E53+E58+E60+E63+E65+E67+E73+E79+E81+E83</f>
        <v/>
      </c>
      <c r="F42" s="29">
        <f>+F43+F46+F53+F58+F60+F63+F65+F67+F73+F79+F81+F83</f>
        <v/>
      </c>
      <c r="G42" s="30">
        <f>+G43+G46+G53+G58+G60+G63+G65+G67+G73+G79+G81+G83</f>
        <v/>
      </c>
      <c r="H42" s="29">
        <f>+H43+H46+H53+H58+H60+H63+H65+H67+H73+H79+H81+H83</f>
        <v/>
      </c>
      <c r="I42" s="30">
        <f>+I43+I46+I53+I58+I60+I63+I65+I67+I73+I79+I81+I83</f>
        <v/>
      </c>
      <c r="J42" s="29">
        <f>+J43+J46+J53+J58+J60+J63+J65+J67+J73+J79+J81+J83</f>
        <v/>
      </c>
      <c r="K42" s="30">
        <f>+K43+K46+K53+K58+K60+K63+K65+K67+K73+K79+K81+K83</f>
        <v/>
      </c>
      <c r="L42" s="29">
        <f>+L43+L46+L53+L58+L60+L63+L65+L67+L73+L79+L81+L83</f>
        <v/>
      </c>
      <c r="M42" s="30">
        <f>+M43+M46+M53+M58+M60+M63+M65+M67+M73+M79+M81+M83</f>
        <v/>
      </c>
      <c r="P42" s="4" t="n"/>
    </row>
    <row r="43" ht="15.75" customHeight="1">
      <c r="A43" s="31" t="inlineStr">
        <is>
          <t>SERVICIOS ACADÉMICOS PREGRADO</t>
        </is>
      </c>
      <c r="B43" s="32">
        <f>SUM(B44:B45)</f>
        <v/>
      </c>
      <c r="C43" s="33">
        <f>SUM(C44:C45)</f>
        <v/>
      </c>
      <c r="D43" s="32">
        <f>SUM(D44:D45)</f>
        <v/>
      </c>
      <c r="E43" s="33">
        <f>SUM(E44:E45)</f>
        <v/>
      </c>
      <c r="F43" s="32">
        <f>SUM(F44:F45)</f>
        <v/>
      </c>
      <c r="G43" s="33">
        <f>SUM(G44:G45)</f>
        <v/>
      </c>
      <c r="H43" s="32">
        <f>SUM(H44:H45)</f>
        <v/>
      </c>
      <c r="I43" s="33">
        <f>SUM(I44:I45)</f>
        <v/>
      </c>
      <c r="J43" s="32">
        <f>SUM(J44:J45)</f>
        <v/>
      </c>
      <c r="K43" s="33">
        <f>SUM(K44:K45)</f>
        <v/>
      </c>
      <c r="L43" s="32">
        <f>SUM(L44:L45)</f>
        <v/>
      </c>
      <c r="M43" s="33">
        <f>SUM(M44:M45)</f>
        <v/>
      </c>
      <c r="P43" s="4" t="n"/>
    </row>
    <row r="44" outlineLevel="1" ht="15.75" customHeight="1">
      <c r="A44" s="34" t="inlineStr">
        <is>
          <t>Derechos de grado - pregrado</t>
        </is>
      </c>
      <c r="B44" s="35" t="n">
        <v>25100000</v>
      </c>
      <c r="C44" s="36" t="n">
        <v>25100000</v>
      </c>
      <c r="D44" s="35" t="n">
        <v>15060000</v>
      </c>
      <c r="E44" s="36" t="n">
        <v>15060000</v>
      </c>
      <c r="F44" s="35" t="n"/>
      <c r="G44" s="36" t="n"/>
      <c r="H44" s="35" t="n"/>
      <c r="I44" s="36" t="n"/>
      <c r="J44" s="35" t="n"/>
      <c r="K44" s="36" t="n"/>
      <c r="L44" s="35" t="n">
        <v>10945921</v>
      </c>
      <c r="M44" s="36" t="n">
        <v>10945921</v>
      </c>
      <c r="P44" s="4" t="n"/>
    </row>
    <row r="45" outlineLevel="1" ht="15.75" customHeight="1">
      <c r="A45" s="34" t="inlineStr">
        <is>
          <t>Expedición de documentos y certificaciones de pregrado</t>
        </is>
      </c>
      <c r="B45" s="35" t="n">
        <v>540700</v>
      </c>
      <c r="C45" s="36" t="n">
        <v>101400</v>
      </c>
      <c r="D45" s="35" t="n">
        <v>677385</v>
      </c>
      <c r="E45" s="36" t="n">
        <v>6261750</v>
      </c>
      <c r="F45" s="35" t="n">
        <v>749400</v>
      </c>
      <c r="G45" s="36" t="n">
        <v>152500</v>
      </c>
      <c r="H45" s="35" t="n">
        <v>700700</v>
      </c>
      <c r="I45" s="36" t="n">
        <v>185300</v>
      </c>
      <c r="J45" s="35" t="n">
        <v>141100</v>
      </c>
      <c r="K45" s="36" t="n">
        <v>73300</v>
      </c>
      <c r="L45" s="35" t="n">
        <v>739300</v>
      </c>
      <c r="M45" s="36" t="n">
        <v>36400</v>
      </c>
      <c r="P45" s="4" t="n"/>
    </row>
    <row r="46" ht="15.75" customHeight="1">
      <c r="A46" s="31" t="inlineStr">
        <is>
          <t>SERVICIOS ACADÉMICOS POSGRADO</t>
        </is>
      </c>
      <c r="B46" s="32">
        <f>SUM(B47:B52)</f>
        <v/>
      </c>
      <c r="C46" s="33">
        <f>SUM(C47:C52)</f>
        <v/>
      </c>
      <c r="D46" s="32">
        <f>SUM(D47:D52)</f>
        <v/>
      </c>
      <c r="E46" s="33">
        <f>SUM(E47:E52)</f>
        <v/>
      </c>
      <c r="F46" s="32">
        <f>SUM(F47:F52)</f>
        <v/>
      </c>
      <c r="G46" s="33">
        <f>SUM(G47:G52)</f>
        <v/>
      </c>
      <c r="H46" s="32">
        <f>SUM(H47:H52)</f>
        <v/>
      </c>
      <c r="I46" s="33">
        <f>SUM(I47:I52)</f>
        <v/>
      </c>
      <c r="J46" s="32">
        <f>SUM(J47:J52)</f>
        <v/>
      </c>
      <c r="K46" s="33">
        <f>SUM(K47:K52)</f>
        <v/>
      </c>
      <c r="L46" s="32">
        <f>SUM(L47:L52)</f>
        <v/>
      </c>
      <c r="M46" s="33">
        <f>SUM(M47:M52)</f>
        <v/>
      </c>
      <c r="P46" s="4" t="n"/>
    </row>
    <row r="47" outlineLevel="1" ht="15.75" customHeight="1">
      <c r="A47" s="34" t="inlineStr">
        <is>
          <t>Derechos administrativos de posgrado</t>
        </is>
      </c>
      <c r="B47" s="35" t="n">
        <v>22485464</v>
      </c>
      <c r="C47" s="36" t="n">
        <v>13466135</v>
      </c>
      <c r="D47" s="35" t="n">
        <v>18325476</v>
      </c>
      <c r="E47" s="36" t="n">
        <v>7856823</v>
      </c>
      <c r="F47" s="35" t="n">
        <v>19753100</v>
      </c>
      <c r="G47" s="36" t="n">
        <v>18517357</v>
      </c>
      <c r="H47" s="35" t="n">
        <v>21655700</v>
      </c>
      <c r="I47" s="36" t="n">
        <v>13167092</v>
      </c>
      <c r="J47" s="35" t="n">
        <v>16063800</v>
      </c>
      <c r="K47" s="36" t="n">
        <v>10770606</v>
      </c>
      <c r="L47" s="35" t="n">
        <v>9858132</v>
      </c>
      <c r="M47" s="36" t="n">
        <v>7604306</v>
      </c>
      <c r="P47" s="4" t="n"/>
    </row>
    <row r="48" outlineLevel="1" ht="15.75" customHeight="1">
      <c r="A48" s="34" t="inlineStr">
        <is>
          <t>Derechos académicos de posgrado</t>
        </is>
      </c>
      <c r="B48" s="35" t="n">
        <v>311023501</v>
      </c>
      <c r="C48" s="36" t="n">
        <v>195047135</v>
      </c>
      <c r="D48" s="35" t="n">
        <v>345812363</v>
      </c>
      <c r="E48" s="36" t="n">
        <v>271331658</v>
      </c>
      <c r="F48" s="35" t="n">
        <v>368317301</v>
      </c>
      <c r="G48" s="36" t="n">
        <v>245474884</v>
      </c>
      <c r="H48" s="35" t="n">
        <v>277868471</v>
      </c>
      <c r="I48" s="36" t="n">
        <v>283072084</v>
      </c>
      <c r="J48" s="35" t="n">
        <v>267096981</v>
      </c>
      <c r="K48" s="36" t="n">
        <v>180365222</v>
      </c>
      <c r="L48" s="35" t="n">
        <v>227901023</v>
      </c>
      <c r="M48" s="36" t="n">
        <v>144090522</v>
      </c>
      <c r="P48" s="4" t="n"/>
    </row>
    <row r="49" outlineLevel="1" ht="15.75" customHeight="1">
      <c r="A49" s="34" t="inlineStr">
        <is>
          <t>Bienestar matrícula posgrado</t>
        </is>
      </c>
      <c r="B49" s="35" t="n">
        <v>41825820</v>
      </c>
      <c r="C49" s="36" t="n">
        <v>15536900</v>
      </c>
      <c r="D49" s="35" t="n">
        <v>20361640</v>
      </c>
      <c r="E49" s="36" t="n">
        <v>8852695</v>
      </c>
      <c r="F49" s="35" t="n">
        <v>21947900</v>
      </c>
      <c r="G49" s="36" t="n">
        <v>20239468</v>
      </c>
      <c r="H49" s="35" t="n">
        <v>24061900</v>
      </c>
      <c r="I49" s="36" t="n">
        <v>15734280</v>
      </c>
      <c r="J49" s="35" t="n">
        <v>17848600</v>
      </c>
      <c r="K49" s="36" t="n">
        <v>12596690</v>
      </c>
      <c r="L49" s="35" t="n">
        <v>10953480</v>
      </c>
      <c r="M49" s="36" t="n">
        <v>9993720</v>
      </c>
      <c r="P49" s="4" t="n"/>
    </row>
    <row r="50" outlineLevel="1" ht="15.75" customHeight="1">
      <c r="A50" s="34" t="inlineStr">
        <is>
          <t>Derechos de grado posgrado</t>
        </is>
      </c>
      <c r="B50" s="35" t="n">
        <v>0</v>
      </c>
      <c r="C50" s="36" t="n">
        <v>689340</v>
      </c>
      <c r="D50" s="35" t="n">
        <v>0</v>
      </c>
      <c r="E50" s="36" t="n">
        <v>3442600</v>
      </c>
      <c r="F50" s="35" t="n">
        <v>15000000</v>
      </c>
      <c r="G50" s="36" t="n">
        <v>15000000</v>
      </c>
      <c r="H50" s="35" t="n">
        <v>15813000</v>
      </c>
      <c r="I50" s="36" t="n">
        <v>15813000</v>
      </c>
      <c r="J50" s="35" t="n">
        <v>17556060</v>
      </c>
      <c r="K50" s="36" t="n">
        <v>17556060</v>
      </c>
      <c r="L50" s="35" t="n"/>
      <c r="M50" s="36" t="n"/>
      <c r="P50" s="4" t="n"/>
    </row>
    <row r="51" outlineLevel="1" ht="15.75" customHeight="1">
      <c r="A51" s="34" t="inlineStr">
        <is>
          <t>Expedición de documentos y certificaciones de posgrado</t>
        </is>
      </c>
      <c r="B51" s="35" t="n">
        <v>1536800</v>
      </c>
      <c r="C51" s="36" t="n">
        <v>744900</v>
      </c>
      <c r="D51" s="35" t="n">
        <v>1207080</v>
      </c>
      <c r="E51" s="36" t="n">
        <v>198800</v>
      </c>
      <c r="F51" s="35" t="n">
        <v>0</v>
      </c>
      <c r="G51" s="36" t="n">
        <v>191200</v>
      </c>
      <c r="H51" s="35" t="n">
        <v>1261800</v>
      </c>
      <c r="I51" s="36" t="n">
        <v>159500</v>
      </c>
      <c r="J51" s="35" t="n">
        <v>555600</v>
      </c>
      <c r="K51" s="36" t="n">
        <v>213600</v>
      </c>
      <c r="L51" s="35" t="n">
        <v>939200</v>
      </c>
      <c r="M51" s="36" t="n">
        <v>360273</v>
      </c>
      <c r="P51" s="4" t="n"/>
    </row>
    <row r="52" outlineLevel="1" ht="15.75" customHeight="1">
      <c r="A52" s="34" t="inlineStr">
        <is>
          <t>Otros ingresos académicos de posgrado</t>
        </is>
      </c>
      <c r="B52" s="35" t="n"/>
      <c r="C52" s="36" t="n"/>
      <c r="D52" s="35" t="n"/>
      <c r="E52" s="36" t="n"/>
      <c r="F52" s="35" t="n">
        <v>1290300</v>
      </c>
      <c r="G52" s="36" t="n">
        <v>0</v>
      </c>
      <c r="H52" s="35" t="n"/>
      <c r="I52" s="36" t="n"/>
      <c r="J52" s="35" t="n"/>
      <c r="K52" s="36" t="n"/>
      <c r="L52" s="35" t="n"/>
      <c r="M52" s="36" t="n"/>
      <c r="P52" s="4" t="n"/>
    </row>
    <row r="53" ht="15.75" customHeight="1">
      <c r="A53" s="31" t="inlineStr">
        <is>
          <t>SERVICIOS DE EXTENSIÓN</t>
        </is>
      </c>
      <c r="B53" s="32">
        <f>SUM(B54:B57)</f>
        <v/>
      </c>
      <c r="C53" s="33">
        <f>SUM(C54:C57)</f>
        <v/>
      </c>
      <c r="D53" s="32">
        <f>SUM(D54:D57)</f>
        <v/>
      </c>
      <c r="E53" s="33">
        <f>SUM(E54:E57)</f>
        <v/>
      </c>
      <c r="F53" s="32">
        <f>SUM(F54:F57)</f>
        <v/>
      </c>
      <c r="G53" s="33">
        <f>SUM(G54:G57)</f>
        <v/>
      </c>
      <c r="H53" s="32">
        <f>SUM(H54:H57)</f>
        <v/>
      </c>
      <c r="I53" s="33">
        <f>SUM(I54:I57)</f>
        <v/>
      </c>
      <c r="J53" s="32">
        <f>SUM(J54:J57)</f>
        <v/>
      </c>
      <c r="K53" s="33">
        <f>SUM(K54:K57)</f>
        <v/>
      </c>
      <c r="L53" s="32">
        <f>SUM(L54:L57)</f>
        <v/>
      </c>
      <c r="M53" s="33">
        <f>SUM(M54:M57)</f>
        <v/>
      </c>
      <c r="P53" s="4" t="n"/>
    </row>
    <row r="54" outlineLevel="1" ht="15.75" customHeight="1">
      <c r="A54" s="34" t="inlineStr">
        <is>
          <t>Consultorías y asesorías</t>
        </is>
      </c>
      <c r="B54" s="35" t="n">
        <v>8500000</v>
      </c>
      <c r="C54" s="36" t="n">
        <v>19200000</v>
      </c>
      <c r="D54" s="35" t="n">
        <v>526803077</v>
      </c>
      <c r="E54" s="36" t="n">
        <v>153750253</v>
      </c>
      <c r="F54" s="35" t="n">
        <v>365099454</v>
      </c>
      <c r="G54" s="36" t="n">
        <v>242090128</v>
      </c>
      <c r="H54" s="35" t="n">
        <v>1702202995</v>
      </c>
      <c r="I54" s="36" t="n">
        <v>776697691</v>
      </c>
      <c r="J54" s="35" t="n">
        <v>688035714</v>
      </c>
      <c r="K54" s="36" t="n">
        <v>876560695</v>
      </c>
      <c r="L54" s="35" t="n">
        <v>910967820</v>
      </c>
      <c r="M54" s="36" t="n">
        <v>73816492</v>
      </c>
      <c r="P54" s="4" t="n"/>
    </row>
    <row r="55" outlineLevel="1" ht="15.75" customHeight="1">
      <c r="A55" s="34" t="inlineStr">
        <is>
          <t>Cursos de extensión</t>
        </is>
      </c>
      <c r="B55" s="35" t="n">
        <v>300000000</v>
      </c>
      <c r="C55" s="36" t="n">
        <v>240000000</v>
      </c>
      <c r="D55" s="35" t="n">
        <v>90500000</v>
      </c>
      <c r="E55" s="36" t="n">
        <v>45125000</v>
      </c>
      <c r="F55" s="35" t="n">
        <v>19400000</v>
      </c>
      <c r="G55" s="36" t="n">
        <v>15662500</v>
      </c>
      <c r="H55" s="35" t="n"/>
      <c r="I55" s="36" t="n"/>
      <c r="J55" s="35" t="n">
        <v>27571092</v>
      </c>
      <c r="K55" s="36" t="n">
        <v>0</v>
      </c>
      <c r="L55" s="35" t="n">
        <v>35000000</v>
      </c>
      <c r="M55" s="36" t="n">
        <v>0</v>
      </c>
      <c r="P55" s="4" t="n"/>
    </row>
    <row r="56" outlineLevel="1" ht="15.75" customHeight="1">
      <c r="A56" s="34" t="inlineStr">
        <is>
          <t>Eventos de extensión</t>
        </is>
      </c>
      <c r="B56" s="35" t="n"/>
      <c r="C56" s="36" t="n"/>
      <c r="D56" s="35" t="n">
        <v>4000000</v>
      </c>
      <c r="E56" s="36" t="n">
        <v>4655054</v>
      </c>
      <c r="F56" s="35" t="n">
        <v>17000000</v>
      </c>
      <c r="G56" s="36" t="n">
        <v>18168000</v>
      </c>
      <c r="H56" s="35" t="n">
        <v>1347000000</v>
      </c>
      <c r="I56" s="36" t="n">
        <v>1192000000</v>
      </c>
      <c r="J56" s="35" t="n">
        <v>70000000</v>
      </c>
      <c r="K56" s="36" t="n">
        <v>93000000</v>
      </c>
      <c r="L56" s="35" t="n">
        <v>55000000</v>
      </c>
      <c r="M56" s="36" t="n">
        <v>54899597</v>
      </c>
      <c r="P56" s="4" t="n"/>
    </row>
    <row r="57" outlineLevel="1" ht="15.75" customHeight="1">
      <c r="A57" s="34" t="inlineStr">
        <is>
          <t>Extensión solidaria</t>
        </is>
      </c>
      <c r="B57" s="35" t="n"/>
      <c r="C57" s="36" t="n"/>
      <c r="D57" s="35" t="n">
        <v>71250000</v>
      </c>
      <c r="E57" s="36" t="n">
        <v>71249462</v>
      </c>
      <c r="F57" s="35" t="n">
        <v>20000538</v>
      </c>
      <c r="G57" s="36" t="n">
        <v>538</v>
      </c>
      <c r="H57" s="35" t="n">
        <v>3750000</v>
      </c>
      <c r="I57" s="36" t="n">
        <v>3750000</v>
      </c>
      <c r="J57" s="35" t="n"/>
      <c r="K57" s="36" t="n"/>
      <c r="L57" s="35" t="n">
        <v>250000000</v>
      </c>
      <c r="M57" s="36" t="n">
        <v>200000000</v>
      </c>
      <c r="P57" s="4" t="n"/>
    </row>
    <row r="58" ht="15.75" customHeight="1">
      <c r="A58" s="31" t="inlineStr">
        <is>
          <t>SERVICIOS DE INVESTIGACION</t>
        </is>
      </c>
      <c r="B58" s="32">
        <f>SUM(B59:B59)</f>
        <v/>
      </c>
      <c r="C58" s="33">
        <f>SUM(C59:C59)</f>
        <v/>
      </c>
      <c r="D58" s="32">
        <f>SUM(D59:D59)</f>
        <v/>
      </c>
      <c r="E58" s="33">
        <f>SUM(E59:E59)</f>
        <v/>
      </c>
      <c r="F58" s="32">
        <f>SUM(F59:F59)</f>
        <v/>
      </c>
      <c r="G58" s="33">
        <f>SUM(G59:G59)</f>
        <v/>
      </c>
      <c r="H58" s="32">
        <f>SUM(H59:H59)</f>
        <v/>
      </c>
      <c r="I58" s="33">
        <f>SUM(I59:I59)</f>
        <v/>
      </c>
      <c r="J58" s="32">
        <f>SUM(J59:J59)</f>
        <v/>
      </c>
      <c r="K58" s="33">
        <f>SUM(K59:K59)</f>
        <v/>
      </c>
      <c r="L58" s="32">
        <f>SUM(L59:L59)</f>
        <v/>
      </c>
      <c r="M58" s="33">
        <f>SUM(M59:M59)</f>
        <v/>
      </c>
    </row>
    <row r="59" outlineLevel="1" ht="15.75" customHeight="1">
      <c r="A59" s="40" t="inlineStr">
        <is>
          <t>Convenios y/o contratos de investigación</t>
        </is>
      </c>
      <c r="B59" s="40" t="n">
        <v>350000000</v>
      </c>
      <c r="C59" s="41" t="n">
        <v>299790689</v>
      </c>
      <c r="D59" s="40" t="n">
        <v>1388542434</v>
      </c>
      <c r="E59" s="41" t="n">
        <v>609532947</v>
      </c>
      <c r="F59" s="40" t="n">
        <v>1328938392</v>
      </c>
      <c r="G59" s="41" t="n">
        <v>805863832</v>
      </c>
      <c r="H59" s="40" t="n">
        <v>1632879403</v>
      </c>
      <c r="I59" s="41" t="n">
        <v>1749942172</v>
      </c>
      <c r="J59" s="40" t="n">
        <v>478000000</v>
      </c>
      <c r="K59" s="41" t="n">
        <v>496937473</v>
      </c>
      <c r="L59" s="40" t="n">
        <v>980000000</v>
      </c>
      <c r="M59" s="41" t="n">
        <v>1027791612</v>
      </c>
      <c r="P59" s="4" t="n"/>
      <c r="AB59" s="4" t="n"/>
    </row>
    <row r="60" ht="15.75" customHeight="1">
      <c r="A60" s="31" t="inlineStr">
        <is>
          <t>ARRENDAMIENTOS</t>
        </is>
      </c>
      <c r="B60" s="32">
        <f>SUM(B61:B62)</f>
        <v/>
      </c>
      <c r="C60" s="33">
        <f>SUM(C61:C62)</f>
        <v/>
      </c>
      <c r="D60" s="32">
        <f>SUM(D61:D62)</f>
        <v/>
      </c>
      <c r="E60" s="33">
        <f>SUM(E61:E62)</f>
        <v/>
      </c>
      <c r="F60" s="32">
        <f>SUM(F61:F62)</f>
        <v/>
      </c>
      <c r="G60" s="33">
        <f>SUM(G61:G62)</f>
        <v/>
      </c>
      <c r="H60" s="32">
        <f>SUM(H61:H62)</f>
        <v/>
      </c>
      <c r="I60" s="33">
        <f>SUM(I61:I62)</f>
        <v/>
      </c>
      <c r="J60" s="32">
        <f>SUM(J61:J62)</f>
        <v/>
      </c>
      <c r="K60" s="33">
        <f>SUM(K61:K62)</f>
        <v/>
      </c>
      <c r="L60" s="32" t="n"/>
      <c r="M60" s="33" t="n"/>
      <c r="P60" s="4" t="n"/>
    </row>
    <row r="61" outlineLevel="1" ht="15.75" customHeight="1">
      <c r="A61" s="40" t="inlineStr">
        <is>
          <t>Arrendamiento de bienes muebles</t>
        </is>
      </c>
      <c r="B61" s="37" t="n"/>
      <c r="C61" s="38" t="n"/>
      <c r="D61" s="37" t="n">
        <v>0</v>
      </c>
      <c r="E61" s="38" t="n">
        <v>1520640</v>
      </c>
      <c r="F61" s="37" t="n">
        <v>1000000</v>
      </c>
      <c r="G61" s="38" t="n">
        <v>0</v>
      </c>
      <c r="H61" s="37" t="n"/>
      <c r="I61" s="38" t="n"/>
      <c r="J61" s="37" t="n">
        <v>8820000</v>
      </c>
      <c r="K61" s="38" t="n">
        <v>8820000</v>
      </c>
      <c r="L61" s="37" t="n"/>
      <c r="M61" s="38" t="n"/>
      <c r="P61" s="4" t="n"/>
    </row>
    <row r="62" outlineLevel="1" ht="15.75" customHeight="1">
      <c r="A62" s="40" t="inlineStr">
        <is>
          <t>Arrendamiento de bienes inmuebles</t>
        </is>
      </c>
      <c r="B62" s="40" t="n">
        <v>3200000</v>
      </c>
      <c r="C62" s="41" t="n">
        <v>5381641</v>
      </c>
      <c r="D62" s="40" t="n">
        <v>3000000</v>
      </c>
      <c r="E62" s="41" t="n">
        <v>1041778</v>
      </c>
      <c r="F62" s="40" t="n">
        <v>1200000</v>
      </c>
      <c r="G62" s="41" t="n">
        <v>560000</v>
      </c>
      <c r="H62" s="40" t="n">
        <v>600000</v>
      </c>
      <c r="I62" s="41" t="n">
        <v>2400000</v>
      </c>
      <c r="J62" s="40" t="n">
        <v>1500000</v>
      </c>
      <c r="K62" s="41" t="n">
        <v>300000</v>
      </c>
      <c r="L62" s="40" t="n"/>
      <c r="M62" s="41" t="n"/>
    </row>
    <row r="63" ht="15.75" customHeight="1">
      <c r="A63" s="31" t="inlineStr">
        <is>
          <t>VENTA DE IMPRESOS Y PUBLICACIONES</t>
        </is>
      </c>
      <c r="B63" s="32">
        <f>SUM(B64:B64)</f>
        <v/>
      </c>
      <c r="C63" s="33">
        <f>SUM(C64:C64)</f>
        <v/>
      </c>
      <c r="D63" s="32">
        <f>SUM(D64:D64)</f>
        <v/>
      </c>
      <c r="E63" s="33">
        <f>SUM(E64:E64)</f>
        <v/>
      </c>
      <c r="F63" s="32">
        <f>SUM(F64:F64)</f>
        <v/>
      </c>
      <c r="G63" s="33">
        <f>SUM(G64:G64)</f>
        <v/>
      </c>
      <c r="H63" s="32">
        <f>SUM(H64:H64)</f>
        <v/>
      </c>
      <c r="I63" s="33">
        <f>SUM(I64:I64)</f>
        <v/>
      </c>
      <c r="J63" s="32">
        <f>SUM(J64:J64)</f>
        <v/>
      </c>
      <c r="K63" s="33">
        <f>SUM(K64:K64)</f>
        <v/>
      </c>
      <c r="L63" s="32">
        <f>SUM(L64:L64)</f>
        <v/>
      </c>
      <c r="M63" s="33">
        <f>SUM(M64:M64)</f>
        <v/>
      </c>
      <c r="P63" s="4" t="n"/>
    </row>
    <row r="64" outlineLevel="1" ht="15.75" customHeight="1">
      <c r="A64" s="40" t="inlineStr">
        <is>
          <t>Venta de libros  y revistas  propios</t>
        </is>
      </c>
      <c r="B64" s="40" t="n">
        <v>2400000</v>
      </c>
      <c r="C64" s="41" t="n">
        <v>1255250</v>
      </c>
      <c r="D64" s="40" t="n">
        <v>1000000</v>
      </c>
      <c r="E64" s="41" t="n">
        <v>291500</v>
      </c>
      <c r="F64" s="40" t="n">
        <v>500000</v>
      </c>
      <c r="G64" s="41" t="n">
        <v>330000</v>
      </c>
      <c r="H64" s="40" t="n">
        <v>500000</v>
      </c>
      <c r="I64" s="41" t="n">
        <v>2329750</v>
      </c>
      <c r="J64" s="40" t="n">
        <v>1000000</v>
      </c>
      <c r="K64" s="41" t="n">
        <v>1086950</v>
      </c>
      <c r="L64" s="40" t="n">
        <v>800000</v>
      </c>
      <c r="M64" s="41" t="n">
        <v>0</v>
      </c>
      <c r="P64" s="4" t="n"/>
    </row>
    <row r="65" ht="15.75" customHeight="1">
      <c r="A65" s="31" t="inlineStr">
        <is>
          <t>TRANSFERENCIAS ENTRE FONDOS SIN CONTRAPRESTACIÓN</t>
        </is>
      </c>
      <c r="B65" s="32">
        <f>SUM(B66:B66)</f>
        <v/>
      </c>
      <c r="C65" s="33">
        <f>SUM(C66:C66)</f>
        <v/>
      </c>
      <c r="D65" s="32">
        <f>SUM(D66:D66)</f>
        <v/>
      </c>
      <c r="E65" s="33">
        <f>SUM(E66:E66)</f>
        <v/>
      </c>
      <c r="F65" s="32">
        <f>SUM(F66:F66)</f>
        <v/>
      </c>
      <c r="G65" s="33">
        <f>SUM(G66:G66)</f>
        <v/>
      </c>
      <c r="H65" s="32">
        <f>SUM(H66:H66)</f>
        <v/>
      </c>
      <c r="I65" s="33">
        <f>SUM(I66:I66)</f>
        <v/>
      </c>
      <c r="J65" s="32" t="n"/>
      <c r="K65" s="33" t="n"/>
      <c r="L65" s="32">
        <f>SUM(L66:L66)</f>
        <v/>
      </c>
      <c r="M65" s="33">
        <f>SUM(M66:M66)</f>
        <v/>
      </c>
      <c r="P65" s="4" t="n"/>
      <c r="Q65" s="4" t="n"/>
    </row>
    <row r="66" outlineLevel="1" ht="15.75" customHeight="1">
      <c r="A66" s="40" t="inlineStr">
        <is>
          <t>Transferencias o.i. sin contraprestación</t>
        </is>
      </c>
      <c r="B66" s="40" t="n">
        <v>80000000</v>
      </c>
      <c r="C66" s="41" t="n">
        <v>16441776</v>
      </c>
      <c r="D66" s="40" t="n">
        <v>7000000</v>
      </c>
      <c r="E66" s="41" t="n">
        <v>15316000</v>
      </c>
      <c r="F66" s="40" t="n">
        <v>0</v>
      </c>
      <c r="G66" s="41" t="n">
        <v>22796945</v>
      </c>
      <c r="H66" s="40" t="n">
        <v>3125000</v>
      </c>
      <c r="I66" s="41" t="n">
        <v>3125000</v>
      </c>
      <c r="J66" s="40" t="n"/>
      <c r="K66" s="41" t="n"/>
      <c r="L66" s="40" t="n">
        <v>9920318</v>
      </c>
      <c r="M66" s="41" t="n">
        <v>14900318</v>
      </c>
      <c r="P66" s="4" t="n"/>
    </row>
    <row r="67" ht="15.75" customHeight="1">
      <c r="A67" s="31" t="inlineStr">
        <is>
          <t>TRANSFERENCIAS EXTENSION</t>
        </is>
      </c>
      <c r="B67" s="32">
        <f>SUM(B68:B72)</f>
        <v/>
      </c>
      <c r="C67" s="33">
        <f>SUM(C68:C72)</f>
        <v/>
      </c>
      <c r="D67" s="32">
        <f>SUM(D68:D72)</f>
        <v/>
      </c>
      <c r="E67" s="33">
        <f>SUM(E68:E72)</f>
        <v/>
      </c>
      <c r="F67" s="32">
        <f>SUM(F68:F72)</f>
        <v/>
      </c>
      <c r="G67" s="33">
        <f>SUM(G68:G72)</f>
        <v/>
      </c>
      <c r="H67" s="32">
        <f>SUM(H68:H72)</f>
        <v/>
      </c>
      <c r="I67" s="33">
        <f>SUM(I68:I72)</f>
        <v/>
      </c>
      <c r="J67" s="32">
        <f>SUM(J68:J72)</f>
        <v/>
      </c>
      <c r="K67" s="33">
        <f>SUM(K68:K72)</f>
        <v/>
      </c>
      <c r="L67" s="32">
        <f>SUM(L68:L72)</f>
        <v/>
      </c>
      <c r="M67" s="33">
        <f>SUM(M68:M72)</f>
        <v/>
      </c>
      <c r="P67" s="4" t="n"/>
      <c r="Q67" s="4" t="n"/>
    </row>
    <row r="68" outlineLevel="1" ht="15.75" customHeight="1">
      <c r="A68" s="34" t="inlineStr">
        <is>
          <t>Transferencias o.i. costos indirectos</t>
        </is>
      </c>
      <c r="B68" s="35" t="n">
        <v>10000000</v>
      </c>
      <c r="C68" s="36" t="n">
        <v>2872901</v>
      </c>
      <c r="D68" s="35" t="n">
        <v>736595</v>
      </c>
      <c r="E68" s="36" t="n">
        <v>21968467</v>
      </c>
      <c r="F68" s="35" t="n">
        <v>5093800</v>
      </c>
      <c r="G68" s="36" t="n">
        <v>629073</v>
      </c>
      <c r="H68" s="35" t="n">
        <v>3171700</v>
      </c>
      <c r="I68" s="36" t="n">
        <v>7735181</v>
      </c>
      <c r="J68" s="35" t="n">
        <v>5178700</v>
      </c>
      <c r="K68" s="36" t="n">
        <v>12170625</v>
      </c>
      <c r="L68" s="35" t="n">
        <v>1504530</v>
      </c>
      <c r="M68" s="36" t="n">
        <v>1061904</v>
      </c>
      <c r="P68" s="4" t="n"/>
      <c r="Q68" s="4" t="n"/>
    </row>
    <row r="69" outlineLevel="1" ht="15.75" customHeight="1">
      <c r="A69" s="34" t="inlineStr">
        <is>
          <t>Transferencias o.i. dirección académica</t>
        </is>
      </c>
      <c r="B69" s="35" t="n">
        <v>0</v>
      </c>
      <c r="C69" s="36" t="n">
        <v>11614022</v>
      </c>
      <c r="D69" s="35" t="n">
        <v>2833057</v>
      </c>
      <c r="E69" s="36" t="n">
        <v>69200672</v>
      </c>
      <c r="F69" s="35" t="n">
        <v>10591400</v>
      </c>
      <c r="G69" s="36" t="n">
        <v>1345253</v>
      </c>
      <c r="H69" s="35" t="n">
        <v>12198600</v>
      </c>
      <c r="I69" s="36" t="n">
        <v>20705625</v>
      </c>
      <c r="J69" s="35" t="n">
        <v>19917800</v>
      </c>
      <c r="K69" s="36" t="n">
        <v>79385597</v>
      </c>
      <c r="L69" s="35" t="n">
        <v>5786654</v>
      </c>
      <c r="M69" s="36" t="n">
        <v>0</v>
      </c>
      <c r="P69" s="4" t="n"/>
      <c r="Q69" s="4" t="n"/>
    </row>
    <row r="70" outlineLevel="1" ht="15.75" customHeight="1">
      <c r="A70" s="34" t="inlineStr">
        <is>
          <t>Transferencias o.i. excedentes por actividades generadoras de recursos</t>
        </is>
      </c>
      <c r="B70" s="35" t="n">
        <v>231660778</v>
      </c>
      <c r="C70" s="36" t="n">
        <v>56120743</v>
      </c>
      <c r="D70" s="35" t="n">
        <v>4742537</v>
      </c>
      <c r="E70" s="36" t="n">
        <v>159140607</v>
      </c>
      <c r="F70" s="35" t="n">
        <v>42134400</v>
      </c>
      <c r="G70" s="36" t="n">
        <v>35565444</v>
      </c>
      <c r="H70" s="35" t="n">
        <v>20737600</v>
      </c>
      <c r="I70" s="36" t="n">
        <v>105028932</v>
      </c>
      <c r="J70" s="35" t="n">
        <v>33860200</v>
      </c>
      <c r="K70" s="36" t="n">
        <v>228553419</v>
      </c>
      <c r="L70" s="35" t="n">
        <v>9837312</v>
      </c>
      <c r="M70" s="36" t="n">
        <v>24662255</v>
      </c>
      <c r="P70" s="4" t="n"/>
      <c r="Q70" s="4" t="n"/>
    </row>
    <row r="71" outlineLevel="1" ht="15.75" customHeight="1">
      <c r="A71" s="34" t="inlineStr">
        <is>
          <t>Transferencias o.i. dirección de extensión de la sede</t>
        </is>
      </c>
      <c r="B71" s="35" t="n">
        <v>0</v>
      </c>
      <c r="C71" s="36" t="n">
        <v>1161402</v>
      </c>
      <c r="D71" s="35" t="n">
        <v>283306</v>
      </c>
      <c r="E71" s="36" t="n">
        <v>6920068</v>
      </c>
      <c r="F71" s="35" t="n">
        <v>1959200</v>
      </c>
      <c r="G71" s="36" t="n">
        <v>141622</v>
      </c>
      <c r="H71" s="35" t="n">
        <v>1219900</v>
      </c>
      <c r="I71" s="36" t="n">
        <v>2070563</v>
      </c>
      <c r="J71" s="35" t="n">
        <v>1991800</v>
      </c>
      <c r="K71" s="36" t="n">
        <v>5035000</v>
      </c>
      <c r="L71" s="35" t="n">
        <v>3828665</v>
      </c>
      <c r="M71" s="36" t="n">
        <v>3481540</v>
      </c>
      <c r="P71" s="4" t="n"/>
      <c r="Q71" s="4" t="n"/>
    </row>
    <row r="72" outlineLevel="1" ht="15.75" customHeight="1">
      <c r="A72" s="34" t="inlineStr">
        <is>
          <t>Transferencias o.i. fondo de riesgos para la extensión</t>
        </is>
      </c>
      <c r="B72" s="35" t="n"/>
      <c r="C72" s="36" t="n"/>
      <c r="D72" s="35" t="n"/>
      <c r="E72" s="36" t="n"/>
      <c r="F72" s="35" t="n"/>
      <c r="G72" s="36" t="n"/>
      <c r="H72" s="35" t="n"/>
      <c r="I72" s="36" t="n"/>
      <c r="J72" s="35" t="n">
        <v>23307219</v>
      </c>
      <c r="K72" s="36" t="n">
        <v>23307219</v>
      </c>
      <c r="L72" s="35" t="n"/>
      <c r="M72" s="36" t="n"/>
      <c r="P72" s="4" t="n"/>
      <c r="Q72" s="4" t="n"/>
    </row>
    <row r="73" ht="15.75" customHeight="1">
      <c r="A73" s="31" t="inlineStr">
        <is>
          <t>OTROS INGRESOS</t>
        </is>
      </c>
      <c r="B73" s="32">
        <f>SUM(B74:B78)</f>
        <v/>
      </c>
      <c r="C73" s="33">
        <f>SUM(C74:C78)</f>
        <v/>
      </c>
      <c r="D73" s="32">
        <f>SUM(D74:D78)</f>
        <v/>
      </c>
      <c r="E73" s="33">
        <f>SUM(E74:E78)</f>
        <v/>
      </c>
      <c r="F73" s="32">
        <f>SUM(F74:F78)</f>
        <v/>
      </c>
      <c r="G73" s="33">
        <f>SUM(G74:G78)</f>
        <v/>
      </c>
      <c r="H73" s="32">
        <f>SUM(H74:H78)</f>
        <v/>
      </c>
      <c r="I73" s="33">
        <f>SUM(I74:I78)</f>
        <v/>
      </c>
      <c r="J73" s="32">
        <f>SUM(J74:J78)</f>
        <v/>
      </c>
      <c r="K73" s="33">
        <f>SUM(K74:K78)</f>
        <v/>
      </c>
      <c r="L73" s="32">
        <f>SUM(L74:L78)</f>
        <v/>
      </c>
      <c r="M73" s="33">
        <f>SUM(M74:M78)</f>
        <v/>
      </c>
      <c r="P73" s="4" t="n"/>
      <c r="Q73" s="4" t="n"/>
    </row>
    <row r="74" outlineLevel="1" ht="15.75" customHeight="1">
      <c r="A74" s="34" t="inlineStr">
        <is>
          <t>Multas</t>
        </is>
      </c>
      <c r="B74" s="35" t="n">
        <v>0</v>
      </c>
      <c r="C74" s="36" t="n">
        <v>216200</v>
      </c>
      <c r="D74" s="35" t="n">
        <v>85000</v>
      </c>
      <c r="E74" s="36" t="n">
        <v>422300</v>
      </c>
      <c r="F74" s="35" t="n">
        <v>0</v>
      </c>
      <c r="G74" s="36" t="n">
        <v>598390</v>
      </c>
      <c r="H74" s="35" t="n">
        <v>500000</v>
      </c>
      <c r="I74" s="36" t="n">
        <v>319560</v>
      </c>
      <c r="J74" s="35" t="n">
        <v>350000</v>
      </c>
      <c r="K74" s="36" t="n">
        <v>34044</v>
      </c>
      <c r="L74" s="35" t="n">
        <v>100000</v>
      </c>
      <c r="M74" s="36" t="n">
        <v>0</v>
      </c>
      <c r="P74" s="4" t="n"/>
      <c r="Q74" s="4" t="n"/>
    </row>
    <row r="75" outlineLevel="1" ht="15.75" customHeight="1">
      <c r="A75" s="34" t="inlineStr">
        <is>
          <t>Boletería</t>
        </is>
      </c>
      <c r="B75" s="35" t="n">
        <v>30000000</v>
      </c>
      <c r="C75" s="36" t="n">
        <v>26515000</v>
      </c>
      <c r="D75" s="35" t="n">
        <v>28000000</v>
      </c>
      <c r="E75" s="36" t="n">
        <v>22614095</v>
      </c>
      <c r="F75" s="35" t="n">
        <v>30000000</v>
      </c>
      <c r="G75" s="36" t="n">
        <v>24019222</v>
      </c>
      <c r="H75" s="35" t="n">
        <v>27000000</v>
      </c>
      <c r="I75" s="36" t="n">
        <v>25838200</v>
      </c>
      <c r="J75" s="35" t="n">
        <v>27000000</v>
      </c>
      <c r="K75" s="36" t="n">
        <v>6256000</v>
      </c>
      <c r="L75" s="35" t="n">
        <v>15000000</v>
      </c>
      <c r="M75" s="36" t="n">
        <v>15324000</v>
      </c>
      <c r="P75" s="4" t="n"/>
      <c r="Q75" s="4" t="n"/>
    </row>
    <row r="76" outlineLevel="1" ht="15.75" customHeight="1">
      <c r="A76" s="34" t="inlineStr">
        <is>
          <t>Otros</t>
        </is>
      </c>
      <c r="B76" s="35" t="n">
        <v>50200000</v>
      </c>
      <c r="C76" s="36" t="n">
        <v>32780824</v>
      </c>
      <c r="D76" s="35" t="n">
        <v>0</v>
      </c>
      <c r="E76" s="36" t="n">
        <v>795000</v>
      </c>
      <c r="F76" s="35" t="n">
        <v>0</v>
      </c>
      <c r="G76" s="36" t="n">
        <v>151758913</v>
      </c>
      <c r="H76" s="35" t="n">
        <v>0</v>
      </c>
      <c r="I76" s="36" t="n">
        <v>114382369</v>
      </c>
      <c r="J76" s="35" t="n">
        <v>115000</v>
      </c>
      <c r="K76" s="36" t="n">
        <v>10000000</v>
      </c>
      <c r="L76" s="35" t="n">
        <v>0</v>
      </c>
      <c r="M76" s="36" t="n">
        <v>46268172</v>
      </c>
      <c r="P76" s="4" t="n"/>
      <c r="Q76" s="4" t="n"/>
    </row>
    <row r="77" outlineLevel="1" ht="15.75" customHeight="1">
      <c r="A77" s="34" t="inlineStr">
        <is>
          <t>Recuperaciones</t>
        </is>
      </c>
      <c r="B77" s="35" t="n"/>
      <c r="C77" s="36" t="n"/>
      <c r="D77" s="35" t="n">
        <v>0</v>
      </c>
      <c r="E77" s="36" t="n">
        <v>9492300</v>
      </c>
      <c r="F77" s="35" t="n"/>
      <c r="G77" s="36" t="n"/>
      <c r="H77" s="35" t="n"/>
      <c r="I77" s="36" t="n"/>
      <c r="J77" s="35" t="n"/>
      <c r="K77" s="36" t="n"/>
      <c r="L77" s="35" t="n">
        <v>94727571</v>
      </c>
      <c r="M77" s="36" t="n">
        <v>113817494</v>
      </c>
      <c r="P77" s="4" t="n"/>
      <c r="Q77" s="4" t="n"/>
    </row>
    <row r="78" outlineLevel="1" ht="15.75" customHeight="1">
      <c r="A78" s="34" t="inlineStr">
        <is>
          <t>Devolución iva</t>
        </is>
      </c>
      <c r="B78" s="35" t="n"/>
      <c r="C78" s="36" t="n"/>
      <c r="D78" s="35" t="n"/>
      <c r="E78" s="36" t="n"/>
      <c r="F78" s="35" t="n">
        <v>0</v>
      </c>
      <c r="G78" s="36" t="n">
        <v>2940412</v>
      </c>
      <c r="H78" s="35" t="n">
        <v>3104603</v>
      </c>
      <c r="I78" s="36" t="n">
        <v>7023783</v>
      </c>
      <c r="J78" s="35" t="n">
        <v>7039473</v>
      </c>
      <c r="K78" s="36" t="n">
        <v>2397049</v>
      </c>
      <c r="L78" s="35" t="n">
        <v>2397049</v>
      </c>
      <c r="M78" s="36" t="n">
        <v>11357626</v>
      </c>
      <c r="P78" s="4" t="n"/>
      <c r="Q78" s="4" t="n"/>
    </row>
    <row r="79" ht="15.75" customHeight="1">
      <c r="A79" s="31" t="inlineStr">
        <is>
          <t>VENTA DE PRODUCTOS</t>
        </is>
      </c>
      <c r="B79" s="32" t="n"/>
      <c r="C79" s="33" t="n"/>
      <c r="D79" s="32">
        <f>SUM(D80:D80)</f>
        <v/>
      </c>
      <c r="E79" s="33">
        <f>SUM(E80:E80)</f>
        <v/>
      </c>
      <c r="F79" s="32">
        <f>SUM(F80:F80)</f>
        <v/>
      </c>
      <c r="G79" s="33">
        <f>SUM(G80:G80)</f>
        <v/>
      </c>
      <c r="H79" s="32">
        <f>SUM(H80:H80)</f>
        <v/>
      </c>
      <c r="I79" s="33">
        <f>SUM(I80:I80)</f>
        <v/>
      </c>
      <c r="J79" s="32">
        <f>SUM(J80:J80)</f>
        <v/>
      </c>
      <c r="K79" s="33">
        <f>SUM(K80:K80)</f>
        <v/>
      </c>
      <c r="L79" s="32">
        <f>SUM(L80:L80)</f>
        <v/>
      </c>
      <c r="M79" s="33">
        <f>SUM(M80:M80)</f>
        <v/>
      </c>
      <c r="P79" s="4" t="n"/>
      <c r="Q79" s="4" t="n"/>
    </row>
    <row r="80" outlineLevel="1" ht="15.75" customHeight="1">
      <c r="A80" s="51" t="inlineStr">
        <is>
          <t>Venta de plantas</t>
        </is>
      </c>
      <c r="B80" s="37" t="n"/>
      <c r="C80" s="38" t="n"/>
      <c r="D80" s="37" t="n">
        <v>2000000</v>
      </c>
      <c r="E80" s="38" t="n">
        <v>540000</v>
      </c>
      <c r="F80" s="37" t="n">
        <v>67000000</v>
      </c>
      <c r="G80" s="38" t="n">
        <v>65939687</v>
      </c>
      <c r="H80" s="37" t="n">
        <v>8000000</v>
      </c>
      <c r="I80" s="38" t="n">
        <v>480000</v>
      </c>
      <c r="J80" s="37" t="n">
        <v>80831572</v>
      </c>
      <c r="K80" s="38" t="n">
        <v>73017572</v>
      </c>
      <c r="L80" s="37" t="n">
        <v>5000000</v>
      </c>
      <c r="M80" s="38" t="n">
        <v>0</v>
      </c>
      <c r="P80" s="4" t="n"/>
      <c r="Q80" s="4" t="n"/>
    </row>
    <row r="81" ht="15.75" customHeight="1">
      <c r="A81" s="31" t="inlineStr">
        <is>
          <t>SERVICIOS BIENESTAR</t>
        </is>
      </c>
      <c r="B81" s="32" t="n"/>
      <c r="C81" s="33" t="n"/>
      <c r="D81" s="32" t="n"/>
      <c r="E81" s="33" t="n"/>
      <c r="F81" s="32" t="n"/>
      <c r="G81" s="33" t="n"/>
      <c r="H81" s="32">
        <f>SUM(H82:H82)</f>
        <v/>
      </c>
      <c r="I81" s="33">
        <f>SUM(I82:I82)</f>
        <v/>
      </c>
      <c r="J81" s="32">
        <f>SUM(J82:J82)</f>
        <v/>
      </c>
      <c r="K81" s="33">
        <f>SUM(K82:K82)</f>
        <v/>
      </c>
      <c r="L81" s="32">
        <f>SUM(L82:L82)</f>
        <v/>
      </c>
      <c r="M81" s="33">
        <f>SUM(M82:M82)</f>
        <v/>
      </c>
      <c r="O81" s="53" t="n"/>
    </row>
    <row r="82" outlineLevel="1" ht="15.75" customHeight="1">
      <c r="A82" s="39" t="inlineStr">
        <is>
          <t>Apoyos de terceros para actividades de bienestar</t>
        </is>
      </c>
      <c r="B82" s="31" t="n"/>
      <c r="C82" s="61" t="n"/>
      <c r="D82" s="31" t="n"/>
      <c r="E82" s="61" t="n"/>
      <c r="F82" s="31" t="n"/>
      <c r="G82" s="61" t="n"/>
      <c r="H82" s="31" t="n">
        <v>200000000</v>
      </c>
      <c r="I82" s="61" t="n">
        <v>91920876</v>
      </c>
      <c r="J82" s="31" t="n">
        <v>92108727</v>
      </c>
      <c r="K82" s="61" t="n">
        <v>88293606</v>
      </c>
      <c r="L82" s="31" t="n">
        <v>144018080</v>
      </c>
      <c r="M82" s="61" t="n">
        <v>138086831</v>
      </c>
      <c r="O82" s="53" t="n"/>
    </row>
    <row r="83" ht="15.75" customHeight="1">
      <c r="A83" s="31" t="inlineStr">
        <is>
          <t>EXCEDENTES DE SALDOS DE CONVENIOS Y CONTRATOS DE INVESTIGACION</t>
        </is>
      </c>
      <c r="B83" s="32" t="n"/>
      <c r="C83" s="33" t="n"/>
      <c r="D83" s="32" t="n"/>
      <c r="E83" s="33" t="n"/>
      <c r="F83" s="32" t="n"/>
      <c r="G83" s="33" t="n"/>
      <c r="H83" s="32">
        <f>SUM(H84:H84)</f>
        <v/>
      </c>
      <c r="I83" s="33">
        <f>SUM(I84:I84)</f>
        <v/>
      </c>
      <c r="J83" s="32">
        <f>SUM(J84:J84)</f>
        <v/>
      </c>
      <c r="K83" s="33">
        <f>SUM(K84:K84)</f>
        <v/>
      </c>
      <c r="L83" s="32">
        <f>SUM(L84:L84)</f>
        <v/>
      </c>
      <c r="M83" s="33">
        <f>SUM(M84:M84)</f>
        <v/>
      </c>
      <c r="P83" s="4" t="n"/>
    </row>
    <row r="84" outlineLevel="1" ht="15.75" customHeight="1">
      <c r="A84" s="34" t="inlineStr">
        <is>
          <t>Excedentes de saldos de convenios y contratos de investigacion</t>
        </is>
      </c>
      <c r="B84" s="31" t="n"/>
      <c r="C84" s="61" t="n"/>
      <c r="D84" s="31" t="n"/>
      <c r="E84" s="61" t="n"/>
      <c r="F84" s="31" t="n"/>
      <c r="G84" s="61" t="n"/>
      <c r="H84" s="31" t="n">
        <v>656515284</v>
      </c>
      <c r="I84" s="61" t="n">
        <v>1602366</v>
      </c>
      <c r="J84" s="31" t="n">
        <v>50000000</v>
      </c>
      <c r="K84" s="61" t="n">
        <v>25528629</v>
      </c>
      <c r="L84" s="31" t="n">
        <v>50000000</v>
      </c>
      <c r="M84" s="61" t="n">
        <v>2138646</v>
      </c>
      <c r="P84" s="4" t="n"/>
    </row>
    <row r="85" ht="15.75" customHeight="1">
      <c r="A85" s="28" t="inlineStr">
        <is>
          <t>2. Recursos de capital</t>
        </is>
      </c>
      <c r="B85" s="29">
        <f>+B86+B88+B93+B95</f>
        <v/>
      </c>
      <c r="C85" s="30">
        <f>+C86+C88+C93+C95</f>
        <v/>
      </c>
      <c r="D85" s="29">
        <f>+D86+D88+D93+D95</f>
        <v/>
      </c>
      <c r="E85" s="30">
        <f>+E86+E88+E93+E95</f>
        <v/>
      </c>
      <c r="F85" s="29">
        <f>+F86+F88+F93+F95</f>
        <v/>
      </c>
      <c r="G85" s="30">
        <f>+G86+G88+G93+G95</f>
        <v/>
      </c>
      <c r="H85" s="29">
        <f>+H86+H88+H93+H95</f>
        <v/>
      </c>
      <c r="I85" s="30">
        <f>+I86+I88+I93+I95</f>
        <v/>
      </c>
      <c r="J85" s="29">
        <f>+J86+J88+J93+J95</f>
        <v/>
      </c>
      <c r="K85" s="30">
        <f>+K86+K88+K93+K95</f>
        <v/>
      </c>
      <c r="L85" s="29">
        <f>+L86+L88+L93+L95</f>
        <v/>
      </c>
      <c r="M85" s="30">
        <f>+M86+M88+M93+M95</f>
        <v/>
      </c>
      <c r="P85" s="4" t="n"/>
    </row>
    <row r="86" ht="15.75" customHeight="1">
      <c r="A86" s="42" t="inlineStr">
        <is>
          <t>RENDIMIENTOS FINANCIEROS</t>
        </is>
      </c>
      <c r="B86" s="42">
        <f>SUM(B87:B87)</f>
        <v/>
      </c>
      <c r="C86" s="43">
        <f>SUM(C87:C87)</f>
        <v/>
      </c>
      <c r="D86" s="42">
        <f>SUM(D87:D87)</f>
        <v/>
      </c>
      <c r="E86" s="43">
        <f>SUM(E87:E87)</f>
        <v/>
      </c>
      <c r="F86" s="42">
        <f>SUM(F87:F87)</f>
        <v/>
      </c>
      <c r="G86" s="43">
        <f>SUM(G87:G87)</f>
        <v/>
      </c>
      <c r="H86" s="42">
        <f>SUM(H87:H87)</f>
        <v/>
      </c>
      <c r="I86" s="43">
        <f>SUM(I87:I87)</f>
        <v/>
      </c>
      <c r="J86" s="42">
        <f>SUM(J87:J87)</f>
        <v/>
      </c>
      <c r="K86" s="43">
        <f>SUM(K87:K87)</f>
        <v/>
      </c>
      <c r="L86" s="42">
        <f>SUM(L87:L87)</f>
        <v/>
      </c>
      <c r="M86" s="43">
        <f>SUM(M87:M87)</f>
        <v/>
      </c>
    </row>
    <row r="87" outlineLevel="1" ht="15.75" customHeight="1">
      <c r="A87" s="37" t="inlineStr">
        <is>
          <t>Rendimientos entidades financieras</t>
        </is>
      </c>
      <c r="B87" s="40" t="n">
        <v>23250000</v>
      </c>
      <c r="C87" s="38" t="n">
        <v>74078834</v>
      </c>
      <c r="D87" s="40" t="n">
        <v>56675264</v>
      </c>
      <c r="E87" s="38" t="n">
        <v>53758923</v>
      </c>
      <c r="F87" s="40" t="n">
        <v>109000000</v>
      </c>
      <c r="G87" s="38" t="n">
        <v>105613817</v>
      </c>
      <c r="H87" s="40" t="n">
        <v>0</v>
      </c>
      <c r="I87" s="38" t="n">
        <v>105191512</v>
      </c>
      <c r="J87" s="40" t="n">
        <v>105000000</v>
      </c>
      <c r="K87" s="38" t="n">
        <v>72191266</v>
      </c>
      <c r="L87" s="40" t="n">
        <v>55071700</v>
      </c>
      <c r="M87" s="38" t="n">
        <v>34938373</v>
      </c>
    </row>
    <row r="88" ht="15.75" customHeight="1">
      <c r="A88" s="42" t="inlineStr">
        <is>
          <t>EXCEDENTES FINANCIEROS</t>
        </is>
      </c>
      <c r="B88" s="42">
        <f>SUM(B89:B92)</f>
        <v/>
      </c>
      <c r="C88" s="43">
        <f>SUM(C89:C92)</f>
        <v/>
      </c>
      <c r="D88" s="42">
        <f>SUM(D89:D92)</f>
        <v/>
      </c>
      <c r="E88" s="43">
        <f>SUM(E89:E92)</f>
        <v/>
      </c>
      <c r="F88" s="42">
        <f>SUM(F89:F92)</f>
        <v/>
      </c>
      <c r="G88" s="43">
        <f>SUM(G89:G92)</f>
        <v/>
      </c>
      <c r="H88" s="42">
        <f>SUM(H89:H92)</f>
        <v/>
      </c>
      <c r="I88" s="43">
        <f>SUM(I89:I92)</f>
        <v/>
      </c>
      <c r="J88" s="42">
        <f>SUM(J89:J92)</f>
        <v/>
      </c>
      <c r="K88" s="43">
        <f>SUM(K89:K92)</f>
        <v/>
      </c>
      <c r="L88" s="42">
        <f>SUM(L89:L92)</f>
        <v/>
      </c>
      <c r="M88" s="43">
        <f>SUM(M89:M92)</f>
        <v/>
      </c>
    </row>
    <row r="89" outlineLevel="1" ht="15.75" customHeight="1">
      <c r="A89" s="40" t="inlineStr">
        <is>
          <t>Excedente financiero - destinación regulada</t>
        </is>
      </c>
      <c r="B89" s="40" t="n">
        <v>358363699</v>
      </c>
      <c r="C89" s="41" t="n">
        <v>358303699</v>
      </c>
      <c r="D89" s="40" t="n">
        <v>396913178</v>
      </c>
      <c r="E89" s="41" t="n">
        <v>304469543</v>
      </c>
      <c r="F89" s="40" t="n">
        <v>478876930</v>
      </c>
      <c r="G89" s="41" t="n">
        <v>478876930</v>
      </c>
      <c r="H89" s="40" t="n">
        <v>417809792</v>
      </c>
      <c r="I89" s="41" t="n">
        <v>417809792</v>
      </c>
      <c r="J89" s="40" t="n">
        <v>145081211</v>
      </c>
      <c r="K89" s="41" t="n">
        <v>145081211</v>
      </c>
      <c r="L89" s="40" t="n">
        <v>117096000</v>
      </c>
      <c r="M89" s="41" t="n">
        <v>117096000</v>
      </c>
      <c r="P89" s="4" t="n"/>
    </row>
    <row r="90" outlineLevel="1" ht="15.75" customHeight="1">
      <c r="A90" s="51" t="inlineStr">
        <is>
          <t>Saldos de apropiación de convenios y contratos en ejecución</t>
        </is>
      </c>
      <c r="B90" s="40" t="n">
        <v>1302856963</v>
      </c>
      <c r="C90" s="41" t="n">
        <v>1289203350</v>
      </c>
      <c r="D90" s="40" t="n">
        <v>991274146</v>
      </c>
      <c r="E90" s="41" t="n">
        <v>989086146</v>
      </c>
      <c r="F90" s="40" t="n">
        <v>910435946</v>
      </c>
      <c r="G90" s="41" t="n">
        <v>903545893</v>
      </c>
      <c r="H90" s="40" t="n">
        <v>753021982</v>
      </c>
      <c r="I90" s="41" t="n">
        <v>753021994</v>
      </c>
      <c r="J90" s="40" t="n">
        <v>1328631226</v>
      </c>
      <c r="K90" s="41" t="n">
        <v>1418631226</v>
      </c>
      <c r="L90" s="40" t="n">
        <v>1050000000</v>
      </c>
      <c r="M90" s="41" t="n">
        <v>728450886</v>
      </c>
      <c r="P90" s="4" t="n"/>
    </row>
    <row r="91" outlineLevel="1" ht="15.75" customHeight="1">
      <c r="A91" s="51" t="inlineStr">
        <is>
          <t>Excedente del  fondo  nacional de  extensión solidaria y  del fondo de riesgos para la extensión</t>
        </is>
      </c>
      <c r="B91" s="40" t="n">
        <v>10000000</v>
      </c>
      <c r="C91" s="41" t="n">
        <v>10000000</v>
      </c>
      <c r="D91" s="40" t="n">
        <v>15000000</v>
      </c>
      <c r="E91" s="41" t="n">
        <v>15000000</v>
      </c>
      <c r="F91" s="40" t="n"/>
      <c r="G91" s="41" t="n"/>
      <c r="H91" s="40" t="n">
        <v>138000000</v>
      </c>
      <c r="I91" s="41" t="n">
        <v>138000000</v>
      </c>
      <c r="J91" s="40" t="n">
        <v>50000000</v>
      </c>
      <c r="K91" s="41" t="n">
        <v>47619048</v>
      </c>
      <c r="L91" s="40" t="n">
        <v>314228858</v>
      </c>
      <c r="M91" s="41" t="n">
        <v>316609810</v>
      </c>
      <c r="P91" s="4" t="n"/>
    </row>
    <row r="92" outlineLevel="1" ht="15.75" customHeight="1">
      <c r="A92" s="40" t="inlineStr">
        <is>
          <t>EXCEDENTE FINANCIERO - ESPECÍFICA UGI FONDO</t>
        </is>
      </c>
      <c r="B92" s="40" t="n"/>
      <c r="C92" s="41" t="n"/>
      <c r="D92" s="40" t="n"/>
      <c r="E92" s="41" t="n"/>
      <c r="F92" s="40" t="n">
        <v>104150849</v>
      </c>
      <c r="G92" s="41" t="n">
        <v>104150849</v>
      </c>
      <c r="H92" s="40" t="n">
        <v>80000012</v>
      </c>
      <c r="I92" s="41" t="n">
        <v>80000000</v>
      </c>
      <c r="J92" s="40" t="n">
        <v>70000000</v>
      </c>
      <c r="K92" s="41" t="n">
        <v>70000000</v>
      </c>
      <c r="L92" s="40" t="n">
        <v>63000000</v>
      </c>
      <c r="M92" s="41" t="n">
        <v>63000000</v>
      </c>
      <c r="P92" s="4" t="n"/>
    </row>
    <row r="93" ht="15.75" customHeight="1">
      <c r="A93" s="42" t="inlineStr">
        <is>
          <t>RECUPERACIÓN DE CARTERA</t>
        </is>
      </c>
      <c r="B93" s="54" t="n"/>
      <c r="C93" s="50" t="n"/>
      <c r="D93" s="54" t="n"/>
      <c r="E93" s="50" t="n"/>
      <c r="F93" s="54" t="n"/>
      <c r="G93" s="50" t="n"/>
      <c r="H93" s="54">
        <f>SUM(H94:H94)</f>
        <v/>
      </c>
      <c r="I93" s="50">
        <f>SUM(I94:I94)</f>
        <v/>
      </c>
      <c r="J93" s="54" t="n"/>
      <c r="K93" s="50" t="n"/>
      <c r="L93" s="54" t="n"/>
      <c r="M93" s="50" t="n"/>
      <c r="P93" s="4" t="n"/>
    </row>
    <row r="94" outlineLevel="1" ht="15.75" customHeight="1">
      <c r="A94" s="39" t="inlineStr">
        <is>
          <t>Recuperación de cartera</t>
        </is>
      </c>
      <c r="B94" s="31" t="n"/>
      <c r="C94" s="61" t="n"/>
      <c r="D94" s="31" t="n"/>
      <c r="E94" s="61" t="n"/>
      <c r="F94" s="31" t="n"/>
      <c r="G94" s="61" t="n"/>
      <c r="H94" s="31" t="n">
        <v>0</v>
      </c>
      <c r="I94" s="61" t="n">
        <v>300000</v>
      </c>
      <c r="J94" s="31" t="n"/>
      <c r="K94" s="61" t="n"/>
      <c r="L94" s="31" t="n"/>
      <c r="M94" s="61" t="n"/>
      <c r="P94" s="4" t="n"/>
    </row>
    <row r="95" ht="15.75" customHeight="1">
      <c r="A95" s="42" t="inlineStr">
        <is>
          <t>DONACIONES</t>
        </is>
      </c>
      <c r="B95" s="54" t="n"/>
      <c r="C95" s="50" t="n"/>
      <c r="D95" s="54" t="n"/>
      <c r="E95" s="50" t="n"/>
      <c r="F95" s="54" t="n"/>
      <c r="G95" s="50" t="n"/>
      <c r="H95" s="54" t="n"/>
      <c r="I95" s="50" t="n"/>
      <c r="J95" s="54" t="n"/>
      <c r="K95" s="50" t="n"/>
      <c r="L95" s="54">
        <f>SUM(L96:L96)</f>
        <v/>
      </c>
      <c r="M95" s="50">
        <f>SUM(M96:M96)</f>
        <v/>
      </c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</row>
    <row r="96" outlineLevel="1" ht="15.75" customHeight="1">
      <c r="A96" s="62" t="inlineStr">
        <is>
          <t>Donaciones en dinero</t>
        </is>
      </c>
      <c r="B96" s="63" t="n"/>
      <c r="C96" s="64" t="n"/>
      <c r="D96" s="63" t="n"/>
      <c r="E96" s="64" t="n"/>
      <c r="F96" s="63" t="n"/>
      <c r="G96" s="64" t="n"/>
      <c r="H96" s="63" t="n"/>
      <c r="I96" s="64" t="n"/>
      <c r="J96" s="63" t="n"/>
      <c r="K96" s="64" t="n"/>
      <c r="L96" s="63" t="n">
        <v>95029565</v>
      </c>
      <c r="M96" s="64" t="n">
        <v>95029565</v>
      </c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2024-12-12T06:31:47Z</dcterms:created>
  <dcterms:modified xmlns:dcterms="http://purl.org/dc/terms/" xmlns:xsi="http://www.w3.org/2001/XMLSchema-instance" xsi:type="dcterms:W3CDTF">2026-09-21T20:10:01Z</dcterms:modified>
  <cp:lastModifiedBy>Lucio Muñoz Adarme</cp:lastModifiedBy>
  <cp:lastPrinted>2024-12-12T06:33:00Z</cp:lastPrinted>
</cp:coreProperties>
</file>