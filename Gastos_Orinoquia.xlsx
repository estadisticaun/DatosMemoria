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0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3" borderId="7" pivotButton="0" quotePrefix="0" xfId="0"/>
    <xf numFmtId="164" fontId="5" fillId="3" borderId="7" pivotButton="0" quotePrefix="0" xfId="0"/>
    <xf numFmtId="164" fontId="5" fillId="3" borderId="8" pivotButton="0" quotePrefix="0" xfId="0"/>
    <xf numFmtId="0" fontId="6" fillId="4" borderId="7" pivotButton="0" quotePrefix="1" xfId="0"/>
    <xf numFmtId="164" fontId="6" fillId="4" borderId="7" pivotButton="0" quotePrefix="0" xfId="0"/>
    <xf numFmtId="164" fontId="6" fillId="4" borderId="8" pivotButton="0" quotePrefix="0" xfId="0"/>
    <xf numFmtId="0" fontId="3" fillId="5" borderId="4" pivotButton="0" quotePrefix="0" xfId="0"/>
    <xf numFmtId="164" fontId="3" fillId="5" borderId="7" pivotButton="0" quotePrefix="0" xfId="0"/>
    <xf numFmtId="164" fontId="3" fillId="5" borderId="5" pivotButton="0" quotePrefix="0" xfId="0"/>
    <xf numFmtId="164" fontId="3" fillId="5" borderId="6" pivotButton="0" quotePrefix="0" xfId="0"/>
    <xf numFmtId="0" fontId="0" fillId="0" borderId="9" pivotButton="0" quotePrefix="0" xfId="0"/>
    <xf numFmtId="164" fontId="0" fillId="0" borderId="1" pivotButton="0" quotePrefix="0" xfId="1"/>
    <xf numFmtId="164" fontId="0" fillId="0" borderId="3" pivotButton="0" quotePrefix="0" xfId="1"/>
    <xf numFmtId="0" fontId="0" fillId="0" borderId="9" applyAlignment="1" pivotButton="0" quotePrefix="0" xfId="0">
      <alignment horizontal="left" vertical="center" wrapText="1" indent="3"/>
    </xf>
    <xf numFmtId="164" fontId="0" fillId="0" borderId="9" applyAlignment="1" pivotButton="0" quotePrefix="0" xfId="1">
      <alignment horizontal="left" vertical="center" wrapText="1" indent="3"/>
    </xf>
    <xf numFmtId="164" fontId="0" fillId="0" borderId="10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vertical="center" wrapText="1"/>
    </xf>
    <xf numFmtId="164" fontId="0" fillId="0" borderId="9" pivotButton="0" quotePrefix="0" xfId="1"/>
    <xf numFmtId="164" fontId="0" fillId="0" borderId="10" pivotButton="0" quotePrefix="0" xfId="1"/>
    <xf numFmtId="164" fontId="0" fillId="0" borderId="9" applyAlignment="1" pivotButton="0" quotePrefix="0" xfId="1">
      <alignment horizontal="left" indent="3"/>
    </xf>
    <xf numFmtId="164" fontId="0" fillId="0" borderId="10" applyAlignment="1" pivotButton="0" quotePrefix="0" xfId="1">
      <alignment horizontal="left" indent="3"/>
    </xf>
    <xf numFmtId="164" fontId="3" fillId="5" borderId="8" pivotButton="0" quotePrefix="0" xfId="0"/>
    <xf numFmtId="0" fontId="0" fillId="0" borderId="9" applyAlignment="1" pivotButton="0" quotePrefix="0" xfId="0">
      <alignment horizontal="left" indent="3"/>
    </xf>
    <xf numFmtId="0" fontId="0" fillId="0" borderId="10" applyAlignment="1" pivotButton="0" quotePrefix="0" xfId="0">
      <alignment horizontal="left" indent="3"/>
    </xf>
    <xf numFmtId="0" fontId="0" fillId="0" borderId="10" pivotButton="0" quotePrefix="0" xfId="0"/>
    <xf numFmtId="0" fontId="0" fillId="0" borderId="1" pivotButton="0" quotePrefix="0" xfId="0"/>
    <xf numFmtId="0" fontId="0" fillId="0" borderId="4" applyAlignment="1" pivotButton="0" quotePrefix="0" xfId="0">
      <alignment horizontal="left" indent="3"/>
    </xf>
    <xf numFmtId="164" fontId="0" fillId="0" borderId="4" applyAlignment="1" pivotButton="0" quotePrefix="0" xfId="1">
      <alignment horizontal="left" indent="3"/>
    </xf>
    <xf numFmtId="164" fontId="0" fillId="0" borderId="6" applyAlignment="1" pivotButton="0" quotePrefix="0" xfId="1">
      <alignment horizontal="left" indent="3"/>
    </xf>
    <xf numFmtId="0" fontId="0" fillId="0" borderId="9" applyAlignment="1" pivotButton="0" quotePrefix="0" xfId="0">
      <alignment horizontal="left" vertical="center" indent="3"/>
    </xf>
    <xf numFmtId="0" fontId="4" fillId="0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tabSelected="1" workbookViewId="0">
      <selection activeCell="C14" sqref="C14"/>
    </sheetView>
  </sheetViews>
  <sheetFormatPr baseColWidth="10" defaultColWidth="0" defaultRowHeight="15" zeroHeight="1" outlineLevelRow="1"/>
  <cols>
    <col width="48.5703125" customWidth="1" min="1" max="1"/>
    <col width="21.5703125" bestFit="1" customWidth="1" min="2" max="13"/>
    <col hidden="1" width="11.42578125" customWidth="1" min="21" max="16384"/>
  </cols>
  <sheetData>
    <row r="1">
      <c r="A1" s="42" t="inlineStr">
        <is>
          <t>GESTION GENERAL SEDE ORINOQUIA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>
      <c r="A2" s="45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7" t="n"/>
    </row>
    <row r="3">
      <c r="A3" s="48" t="inlineStr">
        <is>
          <t>CONCEPTO</t>
        </is>
      </c>
      <c r="B3" s="49" t="n">
        <v>2016</v>
      </c>
      <c r="C3" s="44" t="n"/>
      <c r="D3" s="49" t="n">
        <v>2017</v>
      </c>
      <c r="E3" s="44" t="n"/>
      <c r="F3" s="49" t="n">
        <v>2018</v>
      </c>
      <c r="G3" s="44" t="n"/>
      <c r="H3" s="49" t="n">
        <v>2019</v>
      </c>
      <c r="I3" s="44" t="n"/>
      <c r="J3" s="49" t="n">
        <v>2020</v>
      </c>
      <c r="K3" s="44" t="n"/>
      <c r="L3" s="49" t="n">
        <v>2021</v>
      </c>
      <c r="M3" s="44" t="n"/>
    </row>
    <row r="4">
      <c r="A4" s="45" t="n"/>
      <c r="B4" s="10" t="inlineStr">
        <is>
          <t>Apropiación definitiva</t>
        </is>
      </c>
      <c r="C4" s="11" t="inlineStr">
        <is>
          <t>Registro</t>
        </is>
      </c>
      <c r="D4" s="10" t="inlineStr">
        <is>
          <t>Apropiación definitiva</t>
        </is>
      </c>
      <c r="E4" s="11" t="inlineStr">
        <is>
          <t>Registro</t>
        </is>
      </c>
      <c r="F4" s="10" t="inlineStr">
        <is>
          <t>Apropiación definitiva</t>
        </is>
      </c>
      <c r="G4" s="11" t="inlineStr">
        <is>
          <t>Registro</t>
        </is>
      </c>
      <c r="H4" s="10" t="inlineStr">
        <is>
          <t>Apropiación definitiva</t>
        </is>
      </c>
      <c r="I4" s="11" t="inlineStr">
        <is>
          <t>Registro</t>
        </is>
      </c>
      <c r="J4" s="10" t="inlineStr">
        <is>
          <t>Apropiación definitiva</t>
        </is>
      </c>
      <c r="K4" s="11" t="inlineStr">
        <is>
          <t>Registro</t>
        </is>
      </c>
      <c r="L4" s="10" t="inlineStr">
        <is>
          <t>Apropiación definitiva</t>
        </is>
      </c>
      <c r="M4" s="11" t="inlineStr">
        <is>
          <t>Registro</t>
        </is>
      </c>
    </row>
    <row r="5" ht="18.75" customHeight="1">
      <c r="A5" s="12" t="inlineStr">
        <is>
          <t>GESTIÓN GENERAL</t>
        </is>
      </c>
      <c r="B5" s="13">
        <f>+B6+B52</f>
        <v/>
      </c>
      <c r="C5" s="14">
        <f>+C6+C52</f>
        <v/>
      </c>
      <c r="D5" s="13">
        <f>+D6+D52</f>
        <v/>
      </c>
      <c r="E5" s="14">
        <f>+E6+E52</f>
        <v/>
      </c>
      <c r="F5" s="13">
        <f>+F6+F52</f>
        <v/>
      </c>
      <c r="G5" s="14">
        <f>+G6+G52</f>
        <v/>
      </c>
      <c r="H5" s="13">
        <f>+H6+H52</f>
        <v/>
      </c>
      <c r="I5" s="14">
        <f>+I6+I52</f>
        <v/>
      </c>
      <c r="J5" s="13">
        <f>+J6+J52</f>
        <v/>
      </c>
      <c r="K5" s="14">
        <f>+K6+K52</f>
        <v/>
      </c>
      <c r="L5" s="13">
        <f>+L6+L52</f>
        <v/>
      </c>
      <c r="M5" s="14">
        <f>+M6+M52</f>
        <v/>
      </c>
    </row>
    <row r="6" ht="15.75" customHeight="1">
      <c r="A6" s="15" t="inlineStr">
        <is>
          <t>- NIVEL CENTRAL</t>
        </is>
      </c>
      <c r="B6" s="16">
        <f>+B7+B21</f>
        <v/>
      </c>
      <c r="C6" s="17">
        <f>+C7+C21</f>
        <v/>
      </c>
      <c r="D6" s="16">
        <f>+D7+D21</f>
        <v/>
      </c>
      <c r="E6" s="17">
        <f>+E7+E21</f>
        <v/>
      </c>
      <c r="F6" s="16">
        <f>+F7+F21</f>
        <v/>
      </c>
      <c r="G6" s="17">
        <f>+G7+G21</f>
        <v/>
      </c>
      <c r="H6" s="16">
        <f>+H7+H21</f>
        <v/>
      </c>
      <c r="I6" s="17">
        <f>+I7+I21</f>
        <v/>
      </c>
      <c r="J6" s="16">
        <f>+J7+J21</f>
        <v/>
      </c>
      <c r="K6" s="17">
        <f>+K7+K21</f>
        <v/>
      </c>
      <c r="L6" s="16">
        <f>+L7+L21</f>
        <v/>
      </c>
      <c r="M6" s="17">
        <f>+M7+M21</f>
        <v/>
      </c>
    </row>
    <row r="7">
      <c r="A7" s="18" t="inlineStr">
        <is>
          <t xml:space="preserve">I. Funcionamiento </t>
        </is>
      </c>
      <c r="B7" s="19">
        <f>+B8+B13+B17</f>
        <v/>
      </c>
      <c r="C7" s="20">
        <f>+C8+C13+C17</f>
        <v/>
      </c>
      <c r="D7" s="19">
        <f>+D8+D13+D17</f>
        <v/>
      </c>
      <c r="E7" s="20">
        <f>+E8+E13+E17</f>
        <v/>
      </c>
      <c r="F7" s="19">
        <f>+F8+F13+F17</f>
        <v/>
      </c>
      <c r="G7" s="20">
        <f>+G8+G13+G17</f>
        <v/>
      </c>
      <c r="H7" s="19">
        <f>+H8+H13+H17</f>
        <v/>
      </c>
      <c r="I7" s="20">
        <f>+I8+I13+I17</f>
        <v/>
      </c>
      <c r="J7" s="19">
        <f>+J8+J13+J17</f>
        <v/>
      </c>
      <c r="K7" s="20">
        <f>+K8+K13+K17</f>
        <v/>
      </c>
      <c r="L7" s="19">
        <f>+L8+L13+L17</f>
        <v/>
      </c>
      <c r="M7" s="21">
        <f>+M8+M13+M17</f>
        <v/>
      </c>
    </row>
    <row r="8" ht="15.75" customHeight="1">
      <c r="A8" s="22" t="inlineStr">
        <is>
          <t>GASTOS DE PERSONAL</t>
        </is>
      </c>
      <c r="B8" s="23">
        <f>SUM(B9:B12)</f>
        <v/>
      </c>
      <c r="C8" s="24">
        <f>SUM(C9:C12)</f>
        <v/>
      </c>
      <c r="D8" s="23">
        <f>SUM(D9:D12)</f>
        <v/>
      </c>
      <c r="E8" s="24">
        <f>SUM(E9:E12)</f>
        <v/>
      </c>
      <c r="F8" s="23">
        <f>SUM(F9:F12)</f>
        <v/>
      </c>
      <c r="G8" s="24">
        <f>SUM(G9:G12)</f>
        <v/>
      </c>
      <c r="H8" s="23">
        <f>SUM(H9:H12)</f>
        <v/>
      </c>
      <c r="I8" s="24">
        <f>SUM(I9:I12)</f>
        <v/>
      </c>
      <c r="J8" s="23">
        <f>SUM(J9:J12)</f>
        <v/>
      </c>
      <c r="K8" s="24">
        <f>SUM(K9:K12)</f>
        <v/>
      </c>
      <c r="L8" s="23">
        <f>SUM(L9:L12)</f>
        <v/>
      </c>
      <c r="M8" s="24">
        <f>SUM(M9:M12)</f>
        <v/>
      </c>
    </row>
    <row r="9" outlineLevel="1" ht="15.75" customHeight="1">
      <c r="A9" s="25" t="inlineStr">
        <is>
          <t>SERVICIOS PERSONALES ASOCIADOS A NOMINA</t>
        </is>
      </c>
      <c r="B9" s="26" t="n">
        <v>748082655</v>
      </c>
      <c r="C9" s="27" t="n">
        <v>748082655</v>
      </c>
      <c r="D9" s="26" t="n">
        <v>809353390</v>
      </c>
      <c r="E9" s="27" t="n">
        <v>870207709</v>
      </c>
      <c r="F9" s="26" t="n">
        <v>1005392189</v>
      </c>
      <c r="G9" s="27" t="n">
        <v>1005392189</v>
      </c>
      <c r="H9" s="26" t="n">
        <v>909375993</v>
      </c>
      <c r="I9" s="27" t="n">
        <v>909375993</v>
      </c>
      <c r="J9" s="26" t="n">
        <v>1052012073</v>
      </c>
      <c r="K9" s="27" t="n">
        <v>1052012073</v>
      </c>
      <c r="L9" s="26" t="n">
        <v>981335155</v>
      </c>
      <c r="M9" s="27" t="n">
        <v>981335155</v>
      </c>
      <c r="O9" s="28" t="n"/>
    </row>
    <row r="10" outlineLevel="1" ht="15.75" customHeight="1">
      <c r="A10" s="25" t="inlineStr">
        <is>
          <t>OTROS GASTOS ASOCIADOS A NOMINA</t>
        </is>
      </c>
      <c r="B10" s="26" t="n">
        <v>267869581</v>
      </c>
      <c r="C10" s="27" t="n">
        <v>267869581</v>
      </c>
      <c r="D10" s="26" t="n">
        <v>290827658</v>
      </c>
      <c r="E10" s="27" t="n">
        <v>292613556</v>
      </c>
      <c r="F10" s="26" t="n">
        <v>341291744</v>
      </c>
      <c r="G10" s="27" t="n">
        <v>341291744</v>
      </c>
      <c r="H10" s="26" t="n">
        <v>299605824</v>
      </c>
      <c r="I10" s="27" t="n">
        <v>299605824</v>
      </c>
      <c r="J10" s="26" t="n">
        <v>343380467</v>
      </c>
      <c r="K10" s="27" t="n">
        <v>343380467</v>
      </c>
      <c r="L10" s="26" t="n">
        <v>326870608</v>
      </c>
      <c r="M10" s="27" t="n">
        <v>326870608</v>
      </c>
      <c r="O10" s="28" t="n"/>
    </row>
    <row r="11" outlineLevel="1" ht="15.75" customHeight="1">
      <c r="A11" s="25" t="inlineStr">
        <is>
          <t>SERVICIOS PERSONALES INDIRECTOS</t>
        </is>
      </c>
      <c r="B11" s="26" t="n">
        <v>688713448</v>
      </c>
      <c r="C11" s="27" t="n">
        <v>688147354</v>
      </c>
      <c r="D11" s="26" t="n">
        <v>737831181</v>
      </c>
      <c r="E11" s="27" t="n">
        <v>715874717</v>
      </c>
      <c r="F11" s="26" t="n">
        <v>798050423</v>
      </c>
      <c r="G11" s="27" t="n">
        <v>790460742</v>
      </c>
      <c r="H11" s="26" t="n">
        <v>1268534906</v>
      </c>
      <c r="I11" s="27" t="n">
        <v>1255885137</v>
      </c>
      <c r="J11" s="26" t="n">
        <v>1044839450</v>
      </c>
      <c r="K11" s="27" t="n">
        <v>1007061635</v>
      </c>
      <c r="L11" s="26" t="n">
        <v>1065002366</v>
      </c>
      <c r="M11" s="27" t="n">
        <v>1054369791</v>
      </c>
      <c r="O11" s="28" t="n"/>
    </row>
    <row r="12" outlineLevel="1" ht="15.75" customHeight="1">
      <c r="A12" s="25" t="inlineStr">
        <is>
          <t>CONTRIBUCIONES INHERENTES A LA NOMINA</t>
        </is>
      </c>
      <c r="B12" s="26" t="n">
        <v>219132573</v>
      </c>
      <c r="C12" s="27" t="n">
        <v>219132573</v>
      </c>
      <c r="D12" s="26" t="n">
        <v>237646453</v>
      </c>
      <c r="E12" s="27" t="n">
        <v>255731113</v>
      </c>
      <c r="F12" s="26" t="n">
        <v>296086840</v>
      </c>
      <c r="G12" s="27" t="n">
        <v>296086840</v>
      </c>
      <c r="H12" s="26" t="n">
        <v>272853246</v>
      </c>
      <c r="I12" s="27" t="n">
        <v>272853246</v>
      </c>
      <c r="J12" s="26" t="n">
        <v>309609964</v>
      </c>
      <c r="K12" s="27" t="n">
        <v>309609964</v>
      </c>
      <c r="L12" s="26" t="n">
        <v>297323122</v>
      </c>
      <c r="M12" s="27" t="n">
        <v>297323122</v>
      </c>
      <c r="O12" s="28" t="n"/>
    </row>
    <row r="13" ht="15.75" customHeight="1">
      <c r="A13" s="22" t="inlineStr">
        <is>
          <t>GASTOS GENERALES</t>
        </is>
      </c>
      <c r="B13" s="29">
        <f>SUM(B14:B16)</f>
        <v/>
      </c>
      <c r="C13" s="30">
        <f>SUM(C14:C16)</f>
        <v/>
      </c>
      <c r="D13" s="29">
        <f>SUM(D14:D16)</f>
        <v/>
      </c>
      <c r="E13" s="30">
        <f>SUM(E14:E16)</f>
        <v/>
      </c>
      <c r="F13" s="29">
        <f>SUM(F14:F16)</f>
        <v/>
      </c>
      <c r="G13" s="30">
        <f>SUM(G14:G16)</f>
        <v/>
      </c>
      <c r="H13" s="29">
        <f>SUM(H14:H16)</f>
        <v/>
      </c>
      <c r="I13" s="30">
        <f>SUM(I14:I16)</f>
        <v/>
      </c>
      <c r="J13" s="29">
        <f>SUM(J14:J16)</f>
        <v/>
      </c>
      <c r="K13" s="30">
        <f>SUM(K14:K16)</f>
        <v/>
      </c>
      <c r="L13" s="29">
        <f>SUM(L14:L16)</f>
        <v/>
      </c>
      <c r="M13" s="30">
        <f>SUM(M14:M16)</f>
        <v/>
      </c>
      <c r="O13" s="28" t="n"/>
    </row>
    <row r="14" outlineLevel="1" ht="15.75" customHeight="1">
      <c r="A14" s="25" t="inlineStr">
        <is>
          <t>ADQUISICIÓN DE BIENES</t>
        </is>
      </c>
      <c r="B14" s="26" t="n">
        <v>130865421</v>
      </c>
      <c r="C14" s="27" t="n">
        <v>128841703</v>
      </c>
      <c r="D14" s="26" t="n">
        <v>118690341</v>
      </c>
      <c r="E14" s="27" t="n">
        <v>115260369</v>
      </c>
      <c r="F14" s="26" t="n">
        <v>169914503</v>
      </c>
      <c r="G14" s="27" t="n">
        <v>169907430</v>
      </c>
      <c r="H14" s="26" t="n">
        <v>241665454</v>
      </c>
      <c r="I14" s="27" t="n">
        <v>215877075</v>
      </c>
      <c r="J14" s="26" t="n">
        <v>141823155</v>
      </c>
      <c r="K14" s="27" t="n">
        <v>138898003</v>
      </c>
      <c r="L14" s="26" t="n">
        <v>949865567</v>
      </c>
      <c r="M14" s="27" t="n">
        <v>850763983</v>
      </c>
      <c r="O14" s="28" t="n"/>
    </row>
    <row r="15" outlineLevel="1" ht="15.75" customHeight="1">
      <c r="A15" s="25" t="inlineStr">
        <is>
          <t>ADQUISICIÓN DE SERVICIOS</t>
        </is>
      </c>
      <c r="B15" s="26" t="n">
        <v>755376980</v>
      </c>
      <c r="C15" s="27" t="n">
        <v>711786901</v>
      </c>
      <c r="D15" s="26" t="n">
        <v>914755496</v>
      </c>
      <c r="E15" s="27" t="n">
        <v>1087592119</v>
      </c>
      <c r="F15" s="26" t="n">
        <v>943122992</v>
      </c>
      <c r="G15" s="27" t="n">
        <v>921698581</v>
      </c>
      <c r="H15" s="26" t="n">
        <v>1144552358</v>
      </c>
      <c r="I15" s="27" t="n">
        <v>1138506123</v>
      </c>
      <c r="J15" s="26" t="n">
        <v>794007146</v>
      </c>
      <c r="K15" s="27" t="n">
        <v>755380266</v>
      </c>
      <c r="L15" s="26" t="n">
        <v>4900000</v>
      </c>
      <c r="M15" s="27" t="n">
        <v>2695539</v>
      </c>
      <c r="O15" s="28" t="n"/>
    </row>
    <row r="16" outlineLevel="1" ht="15.75" customHeight="1">
      <c r="A16" s="25" t="inlineStr">
        <is>
          <t>IMPUESTOS, CONTRIBUCIONES Y MULTAS</t>
        </is>
      </c>
      <c r="B16" s="26" t="n">
        <v>4076041</v>
      </c>
      <c r="C16" s="27" t="n">
        <v>4076041</v>
      </c>
      <c r="D16" s="26" t="n">
        <v>8188959</v>
      </c>
      <c r="E16" s="27" t="n">
        <v>6023485</v>
      </c>
      <c r="F16" s="26" t="n">
        <v>15221444</v>
      </c>
      <c r="G16" s="27" t="n">
        <v>15114945</v>
      </c>
      <c r="H16" s="26" t="n">
        <v>7816203</v>
      </c>
      <c r="I16" s="27" t="n">
        <v>7547131</v>
      </c>
      <c r="J16" s="26" t="n">
        <v>5700000</v>
      </c>
      <c r="K16" s="27" t="n">
        <v>2566525</v>
      </c>
      <c r="L16" s="26" t="n">
        <v>200242000</v>
      </c>
      <c r="M16" s="27" t="n">
        <v>181362500</v>
      </c>
      <c r="O16" s="28" t="n"/>
    </row>
    <row r="17" ht="15.75" customHeight="1">
      <c r="A17" s="22" t="inlineStr">
        <is>
          <t>TRANSFERENCIAS</t>
        </is>
      </c>
      <c r="B17" s="29">
        <f>SUM(B18:B20)</f>
        <v/>
      </c>
      <c r="C17" s="30">
        <f>SUM(C18:C20)</f>
        <v/>
      </c>
      <c r="D17" s="29">
        <f>SUM(D18:D20)</f>
        <v/>
      </c>
      <c r="E17" s="30">
        <f>SUM(E18:E20)</f>
        <v/>
      </c>
      <c r="F17" s="29">
        <f>SUM(F18:F20)</f>
        <v/>
      </c>
      <c r="G17" s="30">
        <f>SUM(G18:G20)</f>
        <v/>
      </c>
      <c r="H17" s="29">
        <f>SUM(H18:H20)</f>
        <v/>
      </c>
      <c r="I17" s="30">
        <f>SUM(I18:I20)</f>
        <v/>
      </c>
      <c r="J17" s="29">
        <f>SUM(J18:J20)</f>
        <v/>
      </c>
      <c r="K17" s="30">
        <f>SUM(K18:K20)</f>
        <v/>
      </c>
      <c r="L17" s="29">
        <f>SUM(L18:L20)</f>
        <v/>
      </c>
      <c r="M17" s="30">
        <f>SUM(M18:M20)</f>
        <v/>
      </c>
      <c r="O17" s="28" t="n"/>
    </row>
    <row r="18" outlineLevel="1" ht="15.75" customHeight="1">
      <c r="A18" s="25" t="inlineStr">
        <is>
          <t>BIENESTAR ESTUDIANTES</t>
        </is>
      </c>
      <c r="B18" s="26" t="n">
        <v>56494409</v>
      </c>
      <c r="C18" s="27" t="n">
        <v>53494409</v>
      </c>
      <c r="D18" s="26" t="n">
        <v>92957936</v>
      </c>
      <c r="E18" s="27" t="n">
        <v>86212668</v>
      </c>
      <c r="F18" s="26" t="n">
        <v>243478015</v>
      </c>
      <c r="G18" s="27" t="n">
        <v>241145821</v>
      </c>
      <c r="H18" s="26" t="n">
        <v>181008982</v>
      </c>
      <c r="I18" s="27" t="n">
        <v>172911691</v>
      </c>
      <c r="J18" s="26" t="n">
        <v>171727936</v>
      </c>
      <c r="K18" s="27" t="n">
        <v>171727933</v>
      </c>
      <c r="L18" s="26" t="n">
        <v>165732880</v>
      </c>
      <c r="M18" s="27" t="n">
        <v>165670805</v>
      </c>
      <c r="O18" s="28" t="n"/>
      <c r="P18" s="28" t="n"/>
    </row>
    <row r="19" outlineLevel="1" ht="15.75" customHeight="1">
      <c r="A19" s="41" t="inlineStr">
        <is>
          <t>TRANSFERENCIAS OPERACIONES INTERNAS SIN CONTRAPRESTACIÓN</t>
        </is>
      </c>
      <c r="B19" s="31" t="n"/>
      <c r="C19" s="32" t="n"/>
      <c r="D19" s="31" t="n">
        <v>11335461</v>
      </c>
      <c r="E19" s="32" t="n">
        <v>11335461</v>
      </c>
      <c r="F19" s="31" t="n"/>
      <c r="G19" s="32" t="n"/>
      <c r="H19" s="31" t="n"/>
      <c r="I19" s="32" t="n"/>
      <c r="J19" s="31" t="n"/>
      <c r="K19" s="32" t="n"/>
      <c r="L19" s="31" t="n"/>
      <c r="M19" s="32" t="n"/>
      <c r="O19" s="28" t="n"/>
      <c r="P19" s="28" t="n"/>
    </row>
    <row r="20" outlineLevel="1" ht="15.75" customHeight="1">
      <c r="A20" s="25" t="inlineStr">
        <is>
          <t>OTRAS TRANSFERENCIAS CORRIENTES</t>
        </is>
      </c>
      <c r="B20" s="31" t="n"/>
      <c r="C20" s="32" t="n"/>
      <c r="D20" s="31" t="n"/>
      <c r="E20" s="32" t="n"/>
      <c r="F20" s="31" t="n"/>
      <c r="G20" s="32" t="n"/>
      <c r="H20" s="31" t="n"/>
      <c r="I20" s="32" t="n"/>
      <c r="J20" s="31" t="n"/>
      <c r="K20" s="32" t="n"/>
      <c r="L20" s="31" t="n">
        <v>24122774</v>
      </c>
      <c r="M20" s="32" t="n">
        <v>24122774</v>
      </c>
      <c r="O20" s="28" t="n"/>
    </row>
    <row r="21" ht="15.75" customHeight="1">
      <c r="A21" s="19" t="inlineStr">
        <is>
          <t>II. Inversion</t>
        </is>
      </c>
      <c r="B21" s="19">
        <f>+B22+B26+B29+B34+B40+B44+B46+B50</f>
        <v/>
      </c>
      <c r="C21" s="33">
        <f>+C22+C26+C29+C34+C40+C44+C46+C50</f>
        <v/>
      </c>
      <c r="D21" s="19">
        <f>+D22+D26+D29+D34+D40+D44+D46+D50</f>
        <v/>
      </c>
      <c r="E21" s="33">
        <f>+E22+E26+E29+E34+E40+E44+E46+E50</f>
        <v/>
      </c>
      <c r="F21" s="19">
        <f>+F22+F26+F29+F34+F40+F44+F46+F50</f>
        <v/>
      </c>
      <c r="G21" s="33">
        <f>+G22+G26+G29+G34+G40+G44+G46+G50</f>
        <v/>
      </c>
      <c r="H21" s="19">
        <f>+H22+H26+H29+H34+H40+H44+H46+H50</f>
        <v/>
      </c>
      <c r="I21" s="33">
        <f>+I22+I26+I29+I34+I40+I44+I46+I50</f>
        <v/>
      </c>
      <c r="J21" s="19">
        <f>+J22+J26+J29+J34+J40+J44+J46+J50</f>
        <v/>
      </c>
      <c r="K21" s="33">
        <f>+K22+K26+K29+K34+K40+K44+K46+K50</f>
        <v/>
      </c>
      <c r="L21" s="19">
        <f>+L22+L26+L29+L34+L40+L44+L46+L50</f>
        <v/>
      </c>
      <c r="M21" s="33">
        <f>+M22+M26+M29+M34+M40+M44+M46+M50</f>
        <v/>
      </c>
      <c r="O21" s="28" t="n"/>
    </row>
    <row r="22" ht="15.75" customHeight="1">
      <c r="A22" s="22" t="inlineStr">
        <is>
          <t>MEJORAMIENTO Y MANTENIMIENTO DE INFRAESTRUCTURA PROPIA DEL SECTOR</t>
        </is>
      </c>
      <c r="B22" s="29">
        <f>SUM(B23:B25)</f>
        <v/>
      </c>
      <c r="C22" s="30">
        <f>SUM(C23:C25)</f>
        <v/>
      </c>
      <c r="D22" s="29">
        <f>SUM(D23:D25)</f>
        <v/>
      </c>
      <c r="E22" s="30">
        <f>SUM(E23:E25)</f>
        <v/>
      </c>
      <c r="F22" s="29">
        <f>SUM(F23:F25)</f>
        <v/>
      </c>
      <c r="G22" s="30">
        <f>SUM(G23:G25)</f>
        <v/>
      </c>
      <c r="H22" s="29" t="n"/>
      <c r="I22" s="30" t="n"/>
      <c r="J22" s="29">
        <f>SUM(J23:J25)</f>
        <v/>
      </c>
      <c r="K22" s="30">
        <f>SUM(K23:K25)</f>
        <v/>
      </c>
      <c r="L22" s="29" t="n"/>
      <c r="M22" s="30" t="n"/>
      <c r="O22" s="28" t="n"/>
    </row>
    <row r="23" outlineLevel="1" ht="15.75" customHeight="1">
      <c r="A23" s="25" t="inlineStr">
        <is>
          <t>GASTOS DE PERSONAL</t>
        </is>
      </c>
      <c r="B23" s="26" t="n">
        <v>40800000</v>
      </c>
      <c r="C23" s="27" t="n">
        <v>40786500</v>
      </c>
      <c r="D23" s="26" t="n">
        <v>57600000</v>
      </c>
      <c r="E23" s="27" t="n">
        <v>70400000</v>
      </c>
      <c r="F23" s="26" t="n">
        <v>43200000</v>
      </c>
      <c r="G23" s="27" t="n">
        <v>39600000</v>
      </c>
      <c r="H23" s="26" t="n"/>
      <c r="I23" s="27" t="n"/>
      <c r="J23" s="26" t="n">
        <v>316949600</v>
      </c>
      <c r="K23" s="27" t="n">
        <v>315006879</v>
      </c>
      <c r="L23" s="26" t="n"/>
      <c r="M23" s="27" t="n"/>
      <c r="O23" s="28" t="n"/>
    </row>
    <row r="24" outlineLevel="1" ht="15.75" customHeight="1">
      <c r="A24" s="25" t="inlineStr">
        <is>
          <t>GASTOS GENERALES</t>
        </is>
      </c>
      <c r="B24" s="26" t="n">
        <v>463000000</v>
      </c>
      <c r="C24" s="27" t="n">
        <v>455743011</v>
      </c>
      <c r="D24" s="26" t="n">
        <v>911000000</v>
      </c>
      <c r="E24" s="27" t="n">
        <v>1060073640</v>
      </c>
      <c r="F24" s="26" t="n">
        <v>24400000</v>
      </c>
      <c r="G24" s="27" t="n">
        <v>19399533</v>
      </c>
      <c r="H24" s="26" t="n"/>
      <c r="I24" s="27" t="n"/>
      <c r="J24" s="26" t="n">
        <v>113050400</v>
      </c>
      <c r="K24" s="27" t="n">
        <v>113050400</v>
      </c>
      <c r="L24" s="26" t="n"/>
      <c r="M24" s="27" t="n"/>
      <c r="O24" s="28" t="n"/>
    </row>
    <row r="25" outlineLevel="1" ht="15.75" customHeight="1">
      <c r="A25" s="41" t="inlineStr">
        <is>
          <t>PRESUPUESTO POR DISTRIBUIR - MEJORAMIENTO Y MANTENIMIENTO DE INFRAESTRUCTURA PROPIA DEL SECTOR</t>
        </is>
      </c>
      <c r="B25" s="26" t="n">
        <v>675337665</v>
      </c>
      <c r="C25" s="27" t="n">
        <v>0</v>
      </c>
      <c r="D25" s="26" t="n">
        <v>14656454</v>
      </c>
      <c r="E25" s="27" t="n">
        <v>0</v>
      </c>
      <c r="F25" s="26" t="n"/>
      <c r="G25" s="27" t="n"/>
      <c r="H25" s="26" t="n"/>
      <c r="I25" s="27" t="n"/>
      <c r="J25" s="26" t="n"/>
      <c r="K25" s="27" t="n"/>
      <c r="L25" s="26" t="n"/>
      <c r="M25" s="27" t="n"/>
      <c r="O25" s="28" t="n"/>
      <c r="P25" s="28" t="n"/>
    </row>
    <row r="26" ht="15.75" customHeight="1">
      <c r="A26" s="22" t="inlineStr">
        <is>
          <t>ADQUS. Y/O PRODUCC. DE EQUIPOS, MATER. SUMINIS. Y SERVICIOS PROPIOS DEL SECTOR</t>
        </is>
      </c>
      <c r="B26" s="29">
        <f>SUM(B27:B28)</f>
        <v/>
      </c>
      <c r="C26" s="30">
        <f>SUM(C27:C28)</f>
        <v/>
      </c>
      <c r="D26" s="29">
        <f>SUM(D27:D28)</f>
        <v/>
      </c>
      <c r="E26" s="30">
        <f>SUM(E27:E28)</f>
        <v/>
      </c>
      <c r="F26" s="29">
        <f>SUM(F27:F28)</f>
        <v/>
      </c>
      <c r="G26" s="30">
        <f>SUM(G27:G28)</f>
        <v/>
      </c>
      <c r="H26" s="29" t="n"/>
      <c r="I26" s="30" t="n"/>
      <c r="J26" s="29" t="n"/>
      <c r="K26" s="30" t="n"/>
      <c r="L26" s="29" t="n"/>
      <c r="M26" s="30" t="n"/>
      <c r="O26" s="28" t="n"/>
      <c r="P26" s="28" t="n"/>
    </row>
    <row r="27" outlineLevel="1" ht="15.75" customHeight="1">
      <c r="A27" s="25" t="inlineStr">
        <is>
          <t>GASTOS DE PERSONAL</t>
        </is>
      </c>
      <c r="B27" s="26" t="n">
        <v>16320000</v>
      </c>
      <c r="C27" s="27" t="n">
        <v>13819344</v>
      </c>
      <c r="D27" s="26" t="n">
        <v>66300000</v>
      </c>
      <c r="E27" s="27" t="n">
        <v>66300000</v>
      </c>
      <c r="F27" s="26" t="n">
        <v>92000000</v>
      </c>
      <c r="G27" s="27" t="n">
        <v>92000000</v>
      </c>
      <c r="H27" s="26" t="n"/>
      <c r="I27" s="27" t="n"/>
      <c r="J27" s="26" t="n"/>
      <c r="K27" s="27" t="n"/>
      <c r="L27" s="26" t="n"/>
      <c r="M27" s="27" t="n"/>
      <c r="O27" s="28" t="n"/>
      <c r="P27" s="28" t="n"/>
    </row>
    <row r="28" outlineLevel="1" ht="15.75" customHeight="1">
      <c r="A28" s="25" t="inlineStr">
        <is>
          <t>GASTOS GENERALES</t>
        </is>
      </c>
      <c r="B28" s="26" t="n">
        <v>69697393</v>
      </c>
      <c r="C28" s="27" t="n">
        <v>68522418</v>
      </c>
      <c r="D28" s="26" t="n">
        <v>434249318</v>
      </c>
      <c r="E28" s="27" t="n">
        <v>447254551</v>
      </c>
      <c r="F28" s="26" t="n">
        <v>246209001</v>
      </c>
      <c r="G28" s="27" t="n">
        <v>240658868</v>
      </c>
      <c r="H28" s="26" t="n"/>
      <c r="I28" s="27" t="n"/>
      <c r="J28" s="26" t="n"/>
      <c r="K28" s="27" t="n"/>
      <c r="L28" s="26" t="n"/>
      <c r="M28" s="27" t="n"/>
      <c r="O28" s="28" t="n"/>
    </row>
    <row r="29" ht="15.75" customHeight="1">
      <c r="A29" s="22" t="inlineStr">
        <is>
          <t>DIVULGACIÓN, ASISTENCIA TÉCNICA Y CAPACITACIÓN DEL RECURSO HUMANO.</t>
        </is>
      </c>
      <c r="B29" s="29">
        <f>SUM(B30:B33)</f>
        <v/>
      </c>
      <c r="C29" s="30">
        <f>SUM(C30:C33)</f>
        <v/>
      </c>
      <c r="D29" s="29">
        <f>SUM(D30:D33)</f>
        <v/>
      </c>
      <c r="E29" s="30">
        <f>SUM(E30:E33)</f>
        <v/>
      </c>
      <c r="F29" s="29">
        <f>SUM(F30:F33)</f>
        <v/>
      </c>
      <c r="G29" s="30">
        <f>SUM(G30:G33)</f>
        <v/>
      </c>
      <c r="H29" s="29">
        <f>SUM(H30:H33)</f>
        <v/>
      </c>
      <c r="I29" s="30">
        <f>SUM(I30:I33)</f>
        <v/>
      </c>
      <c r="J29" s="29">
        <f>SUM(J30:J33)</f>
        <v/>
      </c>
      <c r="K29" s="30">
        <f>SUM(K30:K33)</f>
        <v/>
      </c>
      <c r="L29" s="29">
        <f>SUM(L30:L33)</f>
        <v/>
      </c>
      <c r="M29" s="30">
        <f>SUM(M30:M33)</f>
        <v/>
      </c>
      <c r="O29" s="28" t="n"/>
      <c r="P29" s="28" t="n"/>
    </row>
    <row r="30" outlineLevel="1" ht="15.75" customHeight="1">
      <c r="A30" s="25" t="inlineStr">
        <is>
          <t>GASTOS DE PERSONAL</t>
        </is>
      </c>
      <c r="B30" s="26" t="n">
        <v>8400000</v>
      </c>
      <c r="C30" s="27" t="n">
        <v>8350000</v>
      </c>
      <c r="D30" s="26" t="n">
        <v>147028000</v>
      </c>
      <c r="E30" s="27" t="n">
        <v>146245951</v>
      </c>
      <c r="F30" s="26" t="n">
        <v>247694800</v>
      </c>
      <c r="G30" s="27" t="n">
        <v>226677307</v>
      </c>
      <c r="H30" s="26" t="n">
        <v>189876812</v>
      </c>
      <c r="I30" s="27" t="n">
        <v>159426812</v>
      </c>
      <c r="J30" s="26" t="n">
        <v>622619048</v>
      </c>
      <c r="K30" s="27" t="n">
        <v>533448368</v>
      </c>
      <c r="L30" s="26" t="n">
        <v>618269837</v>
      </c>
      <c r="M30" s="27" t="n">
        <v>605479718</v>
      </c>
      <c r="O30" s="28" t="n"/>
      <c r="P30" s="28" t="n"/>
    </row>
    <row r="31" outlineLevel="1" ht="15.75" customHeight="1">
      <c r="A31" s="25" t="inlineStr">
        <is>
          <t>GASTOS GENERALES</t>
        </is>
      </c>
      <c r="B31" s="26" t="n">
        <v>9000000</v>
      </c>
      <c r="C31" s="27" t="n">
        <v>8032999</v>
      </c>
      <c r="D31" s="26" t="n">
        <v>142304500</v>
      </c>
      <c r="E31" s="27" t="n">
        <v>84260845</v>
      </c>
      <c r="F31" s="26" t="n">
        <v>144179733</v>
      </c>
      <c r="G31" s="27" t="n">
        <v>110300611</v>
      </c>
      <c r="H31" s="26" t="n">
        <v>134020000</v>
      </c>
      <c r="I31" s="27" t="n">
        <v>77440647</v>
      </c>
      <c r="J31" s="26" t="n">
        <v>327169910</v>
      </c>
      <c r="K31" s="27" t="n">
        <v>221301722</v>
      </c>
      <c r="L31" s="26" t="n">
        <v>213651833</v>
      </c>
      <c r="M31" s="27" t="n">
        <v>200570193</v>
      </c>
      <c r="O31" s="28" t="n"/>
      <c r="P31" s="28" t="n"/>
    </row>
    <row r="32" outlineLevel="1" ht="15.75" customHeight="1">
      <c r="A32" s="41" t="inlineStr">
        <is>
          <t>PRESUPUESTO POR DISTRIBUIR - DIVULGACIÓN, ASISTENCIA TÉCNICA Y CAPACITACIÓN DEL RECURSO HUMANO.</t>
        </is>
      </c>
      <c r="B32" s="31" t="n"/>
      <c r="C32" s="32" t="n"/>
      <c r="D32" s="31" t="n">
        <v>0</v>
      </c>
      <c r="E32" s="32" t="n">
        <v>0</v>
      </c>
      <c r="F32" s="31" t="n">
        <v>1763642</v>
      </c>
      <c r="G32" s="32" t="n">
        <v>0</v>
      </c>
      <c r="H32" s="31" t="n"/>
      <c r="I32" s="32" t="n"/>
      <c r="J32" s="31" t="n"/>
      <c r="K32" s="32" t="n"/>
      <c r="L32" s="31" t="n"/>
      <c r="M32" s="32" t="n"/>
    </row>
    <row r="33" outlineLevel="1" ht="15.75" customHeight="1">
      <c r="A33" s="25" t="inlineStr">
        <is>
          <t>VIGENCIAS EXPIRADAS GASTOS DE INVERSIÓN</t>
        </is>
      </c>
      <c r="B33" s="31" t="n"/>
      <c r="C33" s="32" t="n"/>
      <c r="D33" s="31" t="n"/>
      <c r="E33" s="32" t="n"/>
      <c r="F33" s="31" t="n"/>
      <c r="G33" s="32" t="n"/>
      <c r="H33" s="31" t="n"/>
      <c r="I33" s="32" t="n"/>
      <c r="J33" s="31" t="n"/>
      <c r="K33" s="32" t="n"/>
      <c r="L33" s="31" t="n">
        <v>4012000</v>
      </c>
      <c r="M33" s="32" t="n">
        <v>4012000</v>
      </c>
    </row>
    <row r="34" ht="15.75" customHeight="1">
      <c r="A34" s="22" t="inlineStr">
        <is>
          <t>INVESTIGACION APLICADA A ESTUDIOS</t>
        </is>
      </c>
      <c r="B34" s="29">
        <f>SUM(B35:B39)</f>
        <v/>
      </c>
      <c r="C34" s="30">
        <f>SUM(C35:C39)</f>
        <v/>
      </c>
      <c r="D34" s="29">
        <f>SUM(D35:D39)</f>
        <v/>
      </c>
      <c r="E34" s="30">
        <f>SUM(E35:E39)</f>
        <v/>
      </c>
      <c r="F34" s="29">
        <f>SUM(F35:F39)</f>
        <v/>
      </c>
      <c r="G34" s="30">
        <f>SUM(G35:G39)</f>
        <v/>
      </c>
      <c r="H34" s="29">
        <f>SUM(H35:H39)</f>
        <v/>
      </c>
      <c r="I34" s="30">
        <f>SUM(I35:I39)</f>
        <v/>
      </c>
      <c r="J34" s="29">
        <f>SUM(J35:J39)</f>
        <v/>
      </c>
      <c r="K34" s="30">
        <f>SUM(K35:K39)</f>
        <v/>
      </c>
      <c r="L34" s="29">
        <f>SUM(L35:L39)</f>
        <v/>
      </c>
      <c r="M34" s="30">
        <f>SUM(M35:M39)</f>
        <v/>
      </c>
    </row>
    <row r="35" outlineLevel="1" ht="15.75" customHeight="1">
      <c r="A35" s="25" t="inlineStr">
        <is>
          <t>GASTOS DE PERSONAL</t>
        </is>
      </c>
      <c r="B35" s="26" t="n">
        <v>130156774</v>
      </c>
      <c r="C35" s="27" t="n">
        <v>87011402</v>
      </c>
      <c r="D35" s="26" t="n">
        <v>204796537</v>
      </c>
      <c r="E35" s="27" t="n">
        <v>166894397</v>
      </c>
      <c r="F35" s="26" t="n">
        <v>266016505</v>
      </c>
      <c r="G35" s="27" t="n">
        <v>257592035</v>
      </c>
      <c r="H35" s="26" t="n">
        <v>153522600</v>
      </c>
      <c r="I35" s="27" t="n">
        <v>142248864</v>
      </c>
      <c r="J35" s="26" t="n">
        <v>366800000</v>
      </c>
      <c r="K35" s="27" t="n">
        <v>233205734</v>
      </c>
      <c r="L35" s="26" t="n">
        <v>643590126</v>
      </c>
      <c r="M35" s="27" t="n">
        <v>538841405</v>
      </c>
      <c r="O35" s="28" t="n"/>
    </row>
    <row r="36" outlineLevel="1" ht="15.75" customHeight="1">
      <c r="A36" s="25" t="inlineStr">
        <is>
          <t>GASTOS GENERALES</t>
        </is>
      </c>
      <c r="B36" s="26" t="n">
        <v>113587389</v>
      </c>
      <c r="C36" s="27" t="n">
        <v>15178242</v>
      </c>
      <c r="D36" s="26" t="n">
        <v>175088123</v>
      </c>
      <c r="E36" s="27" t="n">
        <v>72003745</v>
      </c>
      <c r="F36" s="26" t="n">
        <v>182900200</v>
      </c>
      <c r="G36" s="27" t="n">
        <v>116217853</v>
      </c>
      <c r="H36" s="26" t="n">
        <v>112147017</v>
      </c>
      <c r="I36" s="27" t="n">
        <v>85156253</v>
      </c>
      <c r="J36" s="26" t="n">
        <v>334360995</v>
      </c>
      <c r="K36" s="27" t="n">
        <v>55320788</v>
      </c>
      <c r="L36" s="26" t="n">
        <v>319923813</v>
      </c>
      <c r="M36" s="27" t="n">
        <v>136141022</v>
      </c>
      <c r="O36" s="28" t="n"/>
    </row>
    <row r="37" outlineLevel="1" ht="15.75" customHeight="1">
      <c r="A37" s="25" t="inlineStr">
        <is>
          <t>TRANSFERENCIAS</t>
        </is>
      </c>
      <c r="B37" s="26" t="n">
        <v>48480000</v>
      </c>
      <c r="C37" s="27" t="n">
        <v>0</v>
      </c>
      <c r="D37" s="26" t="n">
        <v>80480000</v>
      </c>
      <c r="E37" s="27" t="n">
        <v>0</v>
      </c>
      <c r="F37" s="26" t="n">
        <v>56000000</v>
      </c>
      <c r="G37" s="27" t="n">
        <v>0</v>
      </c>
      <c r="H37" s="26" t="n"/>
      <c r="I37" s="27" t="n"/>
      <c r="J37" s="26" t="n">
        <v>104394403</v>
      </c>
      <c r="K37" s="27" t="n">
        <v>0</v>
      </c>
      <c r="L37" s="26" t="n">
        <v>53894403</v>
      </c>
      <c r="M37" s="27" t="n">
        <v>7228800</v>
      </c>
      <c r="O37" s="28" t="n"/>
    </row>
    <row r="38" outlineLevel="1" ht="15.75" customHeight="1">
      <c r="A38" s="25" t="inlineStr">
        <is>
          <t>IMPUESTOS, CONTRIBUCIONES Y MULTAS</t>
        </is>
      </c>
      <c r="B38" s="31" t="n"/>
      <c r="C38" s="32" t="n"/>
      <c r="D38" s="31" t="n">
        <v>1500000</v>
      </c>
      <c r="E38" s="32" t="n">
        <v>0</v>
      </c>
      <c r="F38" s="31" t="n"/>
      <c r="G38" s="32" t="n"/>
      <c r="H38" s="31" t="n"/>
      <c r="I38" s="32" t="n"/>
      <c r="J38" s="31" t="n"/>
      <c r="K38" s="32" t="n"/>
      <c r="L38" s="31" t="n"/>
      <c r="M38" s="32" t="n"/>
      <c r="O38" s="28" t="n"/>
    </row>
    <row r="39" outlineLevel="1" ht="15.75" customHeight="1">
      <c r="A39" s="41" t="inlineStr">
        <is>
          <t>PRESUPUESTO POR DISTRIBUIR  - INVESTIGACION APLICADA A ESTUDIOS</t>
        </is>
      </c>
      <c r="B39" s="31" t="n"/>
      <c r="C39" s="32" t="n"/>
      <c r="D39" s="31" t="n"/>
      <c r="E39" s="32" t="n"/>
      <c r="F39" s="31" t="n">
        <v>13218678</v>
      </c>
      <c r="G39" s="32" t="n">
        <v>0</v>
      </c>
      <c r="H39" s="31" t="n"/>
      <c r="I39" s="32" t="n"/>
      <c r="J39" s="31" t="n"/>
      <c r="K39" s="32" t="n"/>
      <c r="L39" s="31" t="n"/>
      <c r="M39" s="32" t="n"/>
      <c r="O39" s="28" t="n"/>
    </row>
    <row r="40" ht="15.75" customHeight="1">
      <c r="A40" s="22" t="inlineStr">
        <is>
          <t>ADMINIST., CONTROL Y ORGANIZACIÓN INSTITUCIONAL PARA APOYO A LA ADMINISTRACION DEL ESTADO</t>
        </is>
      </c>
      <c r="B40" s="29">
        <f>SUM(B41:B43)</f>
        <v/>
      </c>
      <c r="C40" s="30">
        <f>SUM(C41:C43)</f>
        <v/>
      </c>
      <c r="D40" s="29">
        <f>SUM(D41:D43)</f>
        <v/>
      </c>
      <c r="E40" s="30">
        <f>SUM(E41:E43)</f>
        <v/>
      </c>
      <c r="F40" s="29">
        <f>SUM(F41:F43)</f>
        <v/>
      </c>
      <c r="G40" s="30">
        <f>SUM(G41:G43)</f>
        <v/>
      </c>
      <c r="H40" s="29">
        <f>SUM(H41:H43)</f>
        <v/>
      </c>
      <c r="I40" s="30">
        <f>SUM(I41:I43)</f>
        <v/>
      </c>
      <c r="J40" s="29">
        <f>SUM(J41:J43)</f>
        <v/>
      </c>
      <c r="K40" s="30">
        <f>SUM(K41:K43)</f>
        <v/>
      </c>
      <c r="L40" s="29">
        <f>SUM(L41:L43)</f>
        <v/>
      </c>
      <c r="M40" s="30">
        <f>SUM(M41:M43)</f>
        <v/>
      </c>
      <c r="O40" s="28" t="n"/>
    </row>
    <row r="41" outlineLevel="1" ht="15.75" customHeight="1">
      <c r="A41" s="25" t="inlineStr">
        <is>
          <t>GASTOS DE PERSONAL</t>
        </is>
      </c>
      <c r="B41" s="26" t="n">
        <v>8271800</v>
      </c>
      <c r="C41" s="27" t="n">
        <v>8267940</v>
      </c>
      <c r="D41" s="26" t="n">
        <v>83497280</v>
      </c>
      <c r="E41" s="27" t="n">
        <v>84686630</v>
      </c>
      <c r="F41" s="26" t="n">
        <v>69135417</v>
      </c>
      <c r="G41" s="27" t="n">
        <v>59969115</v>
      </c>
      <c r="H41" s="26" t="n">
        <v>36764000</v>
      </c>
      <c r="I41" s="27" t="n">
        <v>36644000</v>
      </c>
      <c r="J41" s="26" t="n">
        <v>348135453</v>
      </c>
      <c r="K41" s="27" t="n">
        <v>144437806</v>
      </c>
      <c r="L41" s="26" t="n">
        <v>167273208</v>
      </c>
      <c r="M41" s="27" t="n">
        <v>153021563</v>
      </c>
      <c r="O41" s="28" t="n"/>
    </row>
    <row r="42" outlineLevel="1" ht="15.75" customHeight="1">
      <c r="A42" s="25" t="inlineStr">
        <is>
          <t>GASTOS GENERALES</t>
        </is>
      </c>
      <c r="B42" s="26" t="n">
        <v>16728200</v>
      </c>
      <c r="C42" s="27" t="n">
        <v>16719868</v>
      </c>
      <c r="D42" s="26" t="n">
        <v>165790990</v>
      </c>
      <c r="E42" s="27" t="n">
        <v>141799949</v>
      </c>
      <c r="F42" s="26" t="n">
        <v>134969361</v>
      </c>
      <c r="G42" s="27" t="n">
        <v>129719506</v>
      </c>
      <c r="H42" s="26" t="n">
        <v>39355505</v>
      </c>
      <c r="I42" s="27" t="n">
        <v>38529143</v>
      </c>
      <c r="J42" s="26" t="n">
        <v>478889170</v>
      </c>
      <c r="K42" s="27" t="n">
        <v>344374381</v>
      </c>
      <c r="L42" s="26" t="n">
        <v>393466776</v>
      </c>
      <c r="M42" s="27" t="n">
        <v>330221367</v>
      </c>
      <c r="O42" s="28" t="n"/>
    </row>
    <row r="43" outlineLevel="1" ht="15.75" customHeight="1">
      <c r="A43" s="41" t="inlineStr">
        <is>
          <t>PRESUPUESTO POR DISTRIBUIR - ADMINIST., CONTROL Y ORGANIZACIÓN INSTITUCIONAL PARA APOYO A LA ADMINIS. DE</t>
        </is>
      </c>
      <c r="B43" s="31" t="n"/>
      <c r="C43" s="32" t="n"/>
      <c r="D43" s="31" t="n">
        <v>0</v>
      </c>
      <c r="E43" s="32" t="n">
        <v>0</v>
      </c>
      <c r="F43" s="31" t="n"/>
      <c r="G43" s="32" t="n"/>
      <c r="H43" s="31" t="n">
        <v>959308837</v>
      </c>
      <c r="I43" s="32" t="n">
        <v>0</v>
      </c>
      <c r="J43" s="31" t="n"/>
      <c r="K43" s="32" t="n"/>
      <c r="L43" s="31" t="n">
        <v>385486011</v>
      </c>
      <c r="M43" s="32" t="n">
        <v>0</v>
      </c>
      <c r="O43" s="28" t="n"/>
      <c r="P43" s="28" t="n"/>
    </row>
    <row r="44" ht="15.75" customHeight="1">
      <c r="A44" s="22" t="inlineStr">
        <is>
          <t>ASIST TÉCNICA DIVULG Y CAPACIT A FUNC DEL ESTADO PARA APOYO A LA ADMINIS DEL ESTADO</t>
        </is>
      </c>
      <c r="B44" s="29">
        <f>SUM(B45:B45)</f>
        <v/>
      </c>
      <c r="C44" s="30">
        <f>SUM(C45:C45)</f>
        <v/>
      </c>
      <c r="D44" s="29" t="n"/>
      <c r="E44" s="30" t="n"/>
      <c r="F44" s="29" t="n"/>
      <c r="G44" s="30" t="n"/>
      <c r="H44" s="29" t="n"/>
      <c r="I44" s="30" t="n"/>
      <c r="J44" s="29" t="n"/>
      <c r="K44" s="30" t="n"/>
      <c r="L44" s="29" t="n"/>
      <c r="M44" s="30" t="n"/>
      <c r="O44" s="28" t="n"/>
      <c r="P44" s="28" t="n"/>
    </row>
    <row r="45" outlineLevel="1" ht="15.75" customHeight="1">
      <c r="A45" s="34" t="inlineStr">
        <is>
          <t>GASTOS DE PERSONAL</t>
        </is>
      </c>
      <c r="B45" s="31" t="n">
        <v>8043174</v>
      </c>
      <c r="C45" s="32" t="n">
        <v>5917576</v>
      </c>
      <c r="D45" s="31" t="n"/>
      <c r="E45" s="32" t="n"/>
      <c r="F45" s="31" t="n"/>
      <c r="G45" s="32" t="n"/>
      <c r="H45" s="31" t="n"/>
      <c r="I45" s="32" t="n"/>
      <c r="J45" s="31" t="n"/>
      <c r="K45" s="32" t="n"/>
      <c r="L45" s="31" t="n"/>
      <c r="M45" s="32" t="n"/>
      <c r="O45" s="28" t="n"/>
      <c r="P45" s="28" t="n"/>
    </row>
    <row r="46" ht="15.75" customHeight="1">
      <c r="A46" s="22" t="inlineStr">
        <is>
          <t>ESTUDIOS DE PRE INVERSIÓN</t>
        </is>
      </c>
      <c r="B46" s="29" t="n"/>
      <c r="C46" s="30" t="n"/>
      <c r="D46" s="29">
        <f>SUM(D47:D49)</f>
        <v/>
      </c>
      <c r="E46" s="30">
        <f>SUM(E47:E49)</f>
        <v/>
      </c>
      <c r="F46" s="29">
        <f>SUM(F47:F49)</f>
        <v/>
      </c>
      <c r="G46" s="30">
        <f>SUM(G47:G49)</f>
        <v/>
      </c>
      <c r="H46" s="29">
        <f>SUM(H47:H49)</f>
        <v/>
      </c>
      <c r="I46" s="30">
        <f>SUM(I47:I49)</f>
        <v/>
      </c>
      <c r="J46" s="29">
        <f>SUM(J47:J49)</f>
        <v/>
      </c>
      <c r="K46" s="30">
        <f>SUM(K47:K49)</f>
        <v/>
      </c>
      <c r="L46" s="29">
        <f>SUM(L47:L49)</f>
        <v/>
      </c>
      <c r="M46" s="30">
        <f>SUM(M47:M49)</f>
        <v/>
      </c>
    </row>
    <row r="47" outlineLevel="1" ht="15.75" customHeight="1">
      <c r="A47" s="25" t="inlineStr">
        <is>
          <t>GASTOS DE PERSONAL</t>
        </is>
      </c>
      <c r="B47" s="31" t="n"/>
      <c r="C47" s="32" t="n"/>
      <c r="D47" s="31" t="n"/>
      <c r="E47" s="35" t="n"/>
      <c r="F47" s="34" t="n"/>
      <c r="G47" s="35" t="n"/>
      <c r="H47" s="31" t="n">
        <v>181143480</v>
      </c>
      <c r="I47" s="32" t="n">
        <v>151902917</v>
      </c>
      <c r="J47" s="34" t="n">
        <v>244097082</v>
      </c>
      <c r="K47" s="35" t="n">
        <v>243204453</v>
      </c>
      <c r="L47" s="34" t="n"/>
      <c r="M47" s="35" t="n"/>
    </row>
    <row r="48" outlineLevel="1" ht="15.75" customHeight="1">
      <c r="A48" s="25" t="inlineStr">
        <is>
          <t>GASTOS GENERALES</t>
        </is>
      </c>
      <c r="B48" s="31" t="n"/>
      <c r="C48" s="32" t="n"/>
      <c r="D48" s="31" t="n"/>
      <c r="E48" s="35" t="n"/>
      <c r="F48" s="31" t="n"/>
      <c r="G48" s="32" t="n"/>
      <c r="H48" s="31" t="n">
        <v>6906376</v>
      </c>
      <c r="I48" s="32" t="n">
        <v>0</v>
      </c>
      <c r="J48" s="34" t="n">
        <v>1</v>
      </c>
      <c r="K48" s="35" t="n">
        <v>0</v>
      </c>
      <c r="L48" s="34" t="n"/>
      <c r="M48" s="35" t="n"/>
      <c r="O48" s="28" t="n"/>
    </row>
    <row r="49" outlineLevel="1" ht="15.75" customHeight="1">
      <c r="A49" s="41" t="inlineStr">
        <is>
          <t>PRESUPUESTO POR DISTRIBUIR - ESTUDIOS DE PRE INVERSIÓN</t>
        </is>
      </c>
      <c r="B49" s="31" t="n"/>
      <c r="C49" s="32" t="n"/>
      <c r="D49" s="31" t="n">
        <v>300000000</v>
      </c>
      <c r="E49" s="35" t="n">
        <v>0</v>
      </c>
      <c r="F49" s="31" t="n">
        <v>393820067</v>
      </c>
      <c r="G49" s="32" t="n">
        <v>0</v>
      </c>
      <c r="H49" s="34" t="n"/>
      <c r="I49" s="35" t="n"/>
      <c r="J49" s="34" t="n"/>
      <c r="K49" s="35" t="n"/>
      <c r="L49" s="31" t="n">
        <v>122000000</v>
      </c>
      <c r="M49" s="35" t="n">
        <v>0</v>
      </c>
      <c r="O49" s="28" t="n"/>
      <c r="P49" s="28" t="n"/>
    </row>
    <row r="50" ht="15.75" customHeight="1">
      <c r="A50" s="22" t="inlineStr">
        <is>
          <t>PROTECCIÓN Y BIENESTAR SOCIAL DEL RECURSO HUMANO</t>
        </is>
      </c>
      <c r="B50" s="29" t="n"/>
      <c r="C50" s="30" t="n"/>
      <c r="D50" s="29" t="n"/>
      <c r="E50" s="30" t="n"/>
      <c r="F50" s="29" t="n"/>
      <c r="G50" s="30" t="n"/>
      <c r="H50" s="29" t="n"/>
      <c r="I50" s="30" t="n"/>
      <c r="J50" s="29" t="n"/>
      <c r="K50" s="30" t="n"/>
      <c r="L50" s="29">
        <f>SUM(L51:L51)</f>
        <v/>
      </c>
      <c r="M50" s="30">
        <f>SUM(M51:M51)</f>
        <v/>
      </c>
    </row>
    <row r="51" outlineLevel="1" ht="15.75" customHeight="1">
      <c r="A51" s="25" t="inlineStr">
        <is>
          <t>GASTOS GENERALES</t>
        </is>
      </c>
      <c r="B51" s="29" t="n"/>
      <c r="C51" s="30" t="n"/>
      <c r="D51" s="29" t="n"/>
      <c r="E51" s="36" t="n"/>
      <c r="F51" s="22" t="n"/>
      <c r="G51" s="36" t="n"/>
      <c r="H51" s="22" t="n"/>
      <c r="I51" s="36" t="n"/>
      <c r="J51" s="22" t="n"/>
      <c r="K51" s="36" t="n"/>
      <c r="L51" s="22" t="n">
        <v>70340000</v>
      </c>
      <c r="M51" s="36" t="n">
        <v>0</v>
      </c>
    </row>
    <row r="52" ht="15.75" customHeight="1">
      <c r="A52" s="15" t="inlineStr">
        <is>
          <t>- FONDOS ESPECIALES</t>
        </is>
      </c>
      <c r="B52" s="16">
        <f>+B53+B60+B67</f>
        <v/>
      </c>
      <c r="C52" s="17">
        <f>+C53+C60+C67</f>
        <v/>
      </c>
      <c r="D52" s="16">
        <f>+D53+D60+D67</f>
        <v/>
      </c>
      <c r="E52" s="17">
        <f>+E53+E60+E67</f>
        <v/>
      </c>
      <c r="F52" s="16">
        <f>+F53+F60+F67</f>
        <v/>
      </c>
      <c r="G52" s="17">
        <f>+G53+G60+G67</f>
        <v/>
      </c>
      <c r="H52" s="16">
        <f>+H53+H60+H67</f>
        <v/>
      </c>
      <c r="I52" s="17">
        <f>+I53+I60+I67</f>
        <v/>
      </c>
      <c r="J52" s="16">
        <f>+J53+J60+J67</f>
        <v/>
      </c>
      <c r="K52" s="17">
        <f>+K53+K60+K67</f>
        <v/>
      </c>
      <c r="L52" s="16">
        <f>+L53+L60+L67</f>
        <v/>
      </c>
      <c r="M52" s="17">
        <f>+M53+M60+M67</f>
        <v/>
      </c>
    </row>
    <row r="53" ht="15.75" customHeight="1">
      <c r="A53" s="37" t="inlineStr">
        <is>
          <t>GASTOS DESTINACION REGULADA</t>
        </is>
      </c>
      <c r="B53" s="23">
        <f>SUM(B54:B59)</f>
        <v/>
      </c>
      <c r="C53" s="24">
        <f>SUM(C54:C59)</f>
        <v/>
      </c>
      <c r="D53" s="23">
        <f>SUM(D54:D59)</f>
        <v/>
      </c>
      <c r="E53" s="24">
        <f>SUM(E54:E59)</f>
        <v/>
      </c>
      <c r="F53" s="23">
        <f>SUM(F54:F59)</f>
        <v/>
      </c>
      <c r="G53" s="24">
        <f>SUM(G54:G59)</f>
        <v/>
      </c>
      <c r="H53" s="23">
        <f>SUM(H54:H59)</f>
        <v/>
      </c>
      <c r="I53" s="24">
        <f>SUM(I54:I59)</f>
        <v/>
      </c>
      <c r="J53" s="23">
        <f>SUM(J54:J59)</f>
        <v/>
      </c>
      <c r="K53" s="24">
        <f>SUM(K54:K59)</f>
        <v/>
      </c>
      <c r="L53" s="23">
        <f>SUM(L54:L59)</f>
        <v/>
      </c>
      <c r="M53" s="24">
        <f>SUM(M54:M59)</f>
        <v/>
      </c>
    </row>
    <row r="54" outlineLevel="1" ht="15.75" customHeight="1">
      <c r="A54" s="34" t="inlineStr">
        <is>
          <t>ADQUISICIÓN DE BIENES - REGULADA</t>
        </is>
      </c>
      <c r="B54" s="31" t="n">
        <v>48584080</v>
      </c>
      <c r="C54" s="32" t="n">
        <v>21985493</v>
      </c>
      <c r="D54" s="31" t="n">
        <v>284856114</v>
      </c>
      <c r="E54" s="32" t="n">
        <v>215588233</v>
      </c>
      <c r="F54" s="31" t="n">
        <v>137065188</v>
      </c>
      <c r="G54" s="32" t="n">
        <v>135742161</v>
      </c>
      <c r="H54" s="31" t="n">
        <v>105437209</v>
      </c>
      <c r="I54" s="32" t="n">
        <v>100100341</v>
      </c>
      <c r="J54" s="31" t="n">
        <v>112945557</v>
      </c>
      <c r="K54" s="32" t="n">
        <v>111362760</v>
      </c>
      <c r="L54" s="31" t="n">
        <v>255201772</v>
      </c>
      <c r="M54" s="32" t="n">
        <v>245287487</v>
      </c>
    </row>
    <row r="55" outlineLevel="1" ht="15.75" customHeight="1">
      <c r="A55" s="34" t="inlineStr">
        <is>
          <t>ADQUISICIÓN DE SERVICIOS - REGULADA</t>
        </is>
      </c>
      <c r="B55" s="31" t="n">
        <v>107603245</v>
      </c>
      <c r="C55" s="32" t="n">
        <v>42370078</v>
      </c>
      <c r="D55" s="31" t="n">
        <v>174552054</v>
      </c>
      <c r="E55" s="32" t="n">
        <v>102761107</v>
      </c>
      <c r="F55" s="31" t="n">
        <v>88330126</v>
      </c>
      <c r="G55" s="32" t="n">
        <v>82208747</v>
      </c>
      <c r="H55" s="31" t="n">
        <v>114903586</v>
      </c>
      <c r="I55" s="32" t="n">
        <v>104635689</v>
      </c>
      <c r="J55" s="31" t="n">
        <v>63495376</v>
      </c>
      <c r="K55" s="32" t="n">
        <v>58559065</v>
      </c>
      <c r="L55" s="31" t="n">
        <v>144494071</v>
      </c>
      <c r="M55" s="32" t="n">
        <v>138972879</v>
      </c>
    </row>
    <row r="56" outlineLevel="1" ht="15.75" customHeight="1">
      <c r="A56" s="34" t="inlineStr">
        <is>
          <t>IMPUESTOS  CONTRIBUCIONES  Y MULTAS - REGULADA</t>
        </is>
      </c>
      <c r="B56" s="31" t="n">
        <v>3000000</v>
      </c>
      <c r="C56" s="32" t="n">
        <v>122296</v>
      </c>
      <c r="D56" s="31" t="n">
        <v>3000000</v>
      </c>
      <c r="E56" s="32" t="n">
        <v>491580</v>
      </c>
      <c r="F56" s="31" t="n"/>
      <c r="G56" s="32" t="n"/>
      <c r="H56" s="31" t="n"/>
      <c r="I56" s="32" t="n"/>
      <c r="J56" s="31" t="n">
        <v>5181467</v>
      </c>
      <c r="K56" s="32" t="n">
        <v>5181467</v>
      </c>
      <c r="L56" s="31" t="n"/>
      <c r="M56" s="32" t="n"/>
    </row>
    <row r="57" outlineLevel="1" ht="15.75" customHeight="1">
      <c r="A57" s="34" t="inlineStr">
        <is>
          <t>SERVICIOS PERSONALES INDIRECTOS - REGULADA</t>
        </is>
      </c>
      <c r="B57" s="31" t="n">
        <v>12560000</v>
      </c>
      <c r="C57" s="32" t="n">
        <v>12399400</v>
      </c>
      <c r="D57" s="31" t="n">
        <v>43000000</v>
      </c>
      <c r="E57" s="32" t="n">
        <v>0</v>
      </c>
      <c r="F57" s="31" t="n">
        <v>58019248</v>
      </c>
      <c r="G57" s="32" t="n">
        <v>54019248</v>
      </c>
      <c r="H57" s="31" t="n">
        <v>112232128</v>
      </c>
      <c r="I57" s="32" t="n">
        <v>109952652</v>
      </c>
      <c r="J57" s="31" t="n">
        <v>56496160</v>
      </c>
      <c r="K57" s="32" t="n">
        <v>46384800</v>
      </c>
      <c r="L57" s="31" t="n">
        <v>103998483</v>
      </c>
      <c r="M57" s="32" t="n">
        <v>102957902</v>
      </c>
    </row>
    <row r="58" outlineLevel="1" ht="15.75" customHeight="1">
      <c r="A58" s="34" t="inlineStr">
        <is>
          <t>TRANSFERENCIAS OPERACIONES INTERNAS SIN CONTRAPRESTACIÓN - REGULADA</t>
        </is>
      </c>
      <c r="B58" s="31" t="n"/>
      <c r="C58" s="32" t="n"/>
      <c r="D58" s="31" t="n">
        <v>132104178</v>
      </c>
      <c r="E58" s="32" t="n">
        <v>0</v>
      </c>
      <c r="F58" s="31" t="n"/>
      <c r="G58" s="32" t="n"/>
      <c r="H58" s="31" t="n"/>
      <c r="I58" s="32" t="n"/>
      <c r="J58" s="31" t="n"/>
      <c r="K58" s="32" t="n"/>
      <c r="L58" s="31" t="n"/>
      <c r="M58" s="32" t="n"/>
    </row>
    <row r="59" outlineLevel="1" ht="15.75" customHeight="1">
      <c r="A59" s="34" t="inlineStr">
        <is>
          <t>BIENESTAR UNIVERSITARIO - REGULADA</t>
        </is>
      </c>
      <c r="B59" s="31" t="n"/>
      <c r="C59" s="32" t="n"/>
      <c r="D59" s="31" t="n"/>
      <c r="E59" s="32" t="n"/>
      <c r="F59" s="31" t="n"/>
      <c r="G59" s="32" t="n"/>
      <c r="H59" s="31" t="n">
        <v>3237240</v>
      </c>
      <c r="I59" s="32" t="n">
        <v>3212800</v>
      </c>
      <c r="J59" s="31" t="n"/>
      <c r="K59" s="32" t="n"/>
      <c r="L59" s="31" t="n"/>
      <c r="M59" s="32" t="n"/>
    </row>
    <row r="60" ht="15.75" customHeight="1">
      <c r="A60" s="22" t="inlineStr">
        <is>
          <t>GASTOS DE DESTINACIÓN ESPECIFICA</t>
        </is>
      </c>
      <c r="B60" s="29">
        <f>SUM(B61:B66)</f>
        <v/>
      </c>
      <c r="C60" s="30">
        <f>SUM(C61:C66)</f>
        <v/>
      </c>
      <c r="D60" s="29">
        <f>SUM(D61:D66)</f>
        <v/>
      </c>
      <c r="E60" s="30">
        <f>SUM(E61:E66)</f>
        <v/>
      </c>
      <c r="F60" s="29">
        <f>SUM(F61:F66)</f>
        <v/>
      </c>
      <c r="G60" s="30">
        <f>SUM(G61:G66)</f>
        <v/>
      </c>
      <c r="H60" s="29">
        <f>SUM(H61:H66)</f>
        <v/>
      </c>
      <c r="I60" s="30">
        <f>SUM(I61:I66)</f>
        <v/>
      </c>
      <c r="J60" s="29">
        <f>SUM(J61:J66)</f>
        <v/>
      </c>
      <c r="K60" s="30">
        <f>SUM(K61:K66)</f>
        <v/>
      </c>
      <c r="L60" s="29">
        <f>SUM(L61:L66)</f>
        <v/>
      </c>
      <c r="M60" s="30">
        <f>SUM(M61:M66)</f>
        <v/>
      </c>
    </row>
    <row r="61" outlineLevel="1" ht="15.75" customHeight="1">
      <c r="A61" s="34" t="inlineStr">
        <is>
          <t>SERVICIOS PERSONALES INDIRECTOS - ESPECIFICA</t>
        </is>
      </c>
      <c r="B61" s="31" t="n">
        <v>587370799</v>
      </c>
      <c r="C61" s="32" t="n">
        <v>531773461</v>
      </c>
      <c r="D61" s="31" t="n">
        <v>339038605</v>
      </c>
      <c r="E61" s="32" t="n">
        <v>388737426</v>
      </c>
      <c r="F61" s="31" t="n">
        <v>465668169</v>
      </c>
      <c r="G61" s="32" t="n">
        <v>312805108</v>
      </c>
      <c r="H61" s="31" t="n">
        <v>225153789</v>
      </c>
      <c r="I61" s="32" t="n">
        <v>220653548</v>
      </c>
      <c r="J61" s="31" t="n">
        <v>331932651</v>
      </c>
      <c r="K61" s="32" t="n">
        <v>305519810</v>
      </c>
      <c r="L61" s="31" t="n">
        <v>381804998</v>
      </c>
      <c r="M61" s="32" t="n">
        <v>335834240</v>
      </c>
    </row>
    <row r="62" outlineLevel="1" ht="15.75" customHeight="1">
      <c r="A62" s="34" t="inlineStr">
        <is>
          <t>ADQUISICIÓN DE BIENES - ESPECIFICA</t>
        </is>
      </c>
      <c r="B62" s="31" t="n">
        <v>24615968</v>
      </c>
      <c r="C62" s="32" t="n">
        <v>24615036</v>
      </c>
      <c r="D62" s="31" t="n">
        <v>8066923</v>
      </c>
      <c r="E62" s="32" t="n">
        <v>8061843</v>
      </c>
      <c r="F62" s="31" t="n">
        <v>605817100</v>
      </c>
      <c r="G62" s="32" t="n">
        <v>514521910</v>
      </c>
      <c r="H62" s="31" t="n">
        <v>266196981</v>
      </c>
      <c r="I62" s="32" t="n">
        <v>253979355</v>
      </c>
      <c r="J62" s="31" t="n">
        <v>605209559</v>
      </c>
      <c r="K62" s="32" t="n">
        <v>535244516</v>
      </c>
      <c r="L62" s="31" t="n">
        <v>785337406</v>
      </c>
      <c r="M62" s="32" t="n">
        <v>770540884</v>
      </c>
    </row>
    <row r="63" outlineLevel="1" ht="15.75" customHeight="1">
      <c r="A63" s="34" t="inlineStr">
        <is>
          <t>ADQUISICIÓN DE SERVICIOS - ESPECIFICA</t>
        </is>
      </c>
      <c r="B63" s="31" t="n">
        <v>341747391</v>
      </c>
      <c r="C63" s="32" t="n">
        <v>295472002</v>
      </c>
      <c r="D63" s="31" t="n">
        <v>260359257</v>
      </c>
      <c r="E63" s="32" t="n">
        <v>272207393</v>
      </c>
      <c r="F63" s="31" t="n">
        <v>430028651</v>
      </c>
      <c r="G63" s="32" t="n">
        <v>223197637</v>
      </c>
      <c r="H63" s="31" t="n">
        <v>155454214</v>
      </c>
      <c r="I63" s="32" t="n">
        <v>139829930</v>
      </c>
      <c r="J63" s="31" t="n">
        <v>180003799</v>
      </c>
      <c r="K63" s="32" t="n">
        <v>108180903</v>
      </c>
      <c r="L63" s="31" t="n">
        <v>167720843</v>
      </c>
      <c r="M63" s="32" t="n">
        <v>160840425</v>
      </c>
      <c r="O63" s="28" t="n"/>
    </row>
    <row r="64" outlineLevel="1" ht="15.75" customHeight="1">
      <c r="A64" s="34" t="inlineStr">
        <is>
          <t>TRANSFERENCIAS OPERACIONES INTERNAS SIN CONTRAPRESTACIÓN - ESPECIFICA</t>
        </is>
      </c>
      <c r="B64" s="31" t="n">
        <v>382534984</v>
      </c>
      <c r="C64" s="32" t="n">
        <v>382534984</v>
      </c>
      <c r="D64" s="31" t="n">
        <v>358642377</v>
      </c>
      <c r="E64" s="32" t="n">
        <v>357689996</v>
      </c>
      <c r="F64" s="31" t="n">
        <v>15470364</v>
      </c>
      <c r="G64" s="32" t="n">
        <v>2176955</v>
      </c>
      <c r="H64" s="31" t="n">
        <v>43543084</v>
      </c>
      <c r="I64" s="32" t="n">
        <v>13082000</v>
      </c>
      <c r="J64" s="31" t="n">
        <v>82157970</v>
      </c>
      <c r="K64" s="32" t="n">
        <v>30461084</v>
      </c>
      <c r="L64" s="31" t="n">
        <v>87235470</v>
      </c>
      <c r="M64" s="32" t="n">
        <v>0</v>
      </c>
      <c r="O64" s="28" t="n"/>
      <c r="P64" s="28" t="n"/>
    </row>
    <row r="65" outlineLevel="1" ht="15.75" customHeight="1">
      <c r="A65" s="34" t="inlineStr">
        <is>
          <t>IMPUESTOS, CONTRIBUCIONES Y MULTAS - ESPECIFICA</t>
        </is>
      </c>
      <c r="B65" s="31" t="n"/>
      <c r="C65" s="32" t="n"/>
      <c r="D65" s="31" t="n"/>
      <c r="E65" s="32" t="n"/>
      <c r="F65" s="31" t="n">
        <v>3045252</v>
      </c>
      <c r="G65" s="32" t="n">
        <v>3045252</v>
      </c>
      <c r="H65" s="31" t="n"/>
      <c r="I65" s="32" t="n"/>
      <c r="J65" s="31" t="n"/>
      <c r="K65" s="32" t="n"/>
      <c r="L65" s="31" t="n"/>
      <c r="M65" s="32" t="n"/>
      <c r="O65" s="28" t="n"/>
      <c r="P65" s="28" t="n"/>
    </row>
    <row r="66" outlineLevel="1" ht="15.75" customHeight="1">
      <c r="A66" s="41" t="inlineStr">
        <is>
          <t>PRESPUESTO POR DISTRIBUIR - GASTOS DE DESTINACIÓN ESPECÍFICA</t>
        </is>
      </c>
      <c r="B66" s="26" t="n">
        <v>12300000</v>
      </c>
      <c r="C66" s="27" t="n">
        <v>0</v>
      </c>
      <c r="D66" s="26" t="n"/>
      <c r="E66" s="27" t="n"/>
      <c r="F66" s="26" t="n">
        <v>109970464</v>
      </c>
      <c r="G66" s="27" t="n">
        <v>0</v>
      </c>
      <c r="H66" s="26" t="n">
        <v>19911932</v>
      </c>
      <c r="I66" s="27" t="n">
        <v>0</v>
      </c>
      <c r="J66" s="26" t="n">
        <v>234817048</v>
      </c>
      <c r="K66" s="27" t="n">
        <v>0</v>
      </c>
      <c r="L66" s="26" t="n">
        <v>53000706</v>
      </c>
      <c r="M66" s="27" t="n">
        <v>0</v>
      </c>
      <c r="O66" s="28" t="n"/>
      <c r="P66" s="28" t="n"/>
    </row>
    <row r="67" ht="15.75" customHeight="1">
      <c r="A67" s="22" t="inlineStr">
        <is>
          <t>GASTOS DE DESTINACION ESPECIFICA  UGI FONDO</t>
        </is>
      </c>
      <c r="B67" s="29" t="n"/>
      <c r="C67" s="30" t="n"/>
      <c r="D67" s="29">
        <f>SUM(D68:D71)</f>
        <v/>
      </c>
      <c r="E67" s="30">
        <f>SUM(E68:E71)</f>
        <v/>
      </c>
      <c r="F67" s="29">
        <f>SUM(F68:F71)</f>
        <v/>
      </c>
      <c r="G67" s="30">
        <f>SUM(G68:G71)</f>
        <v/>
      </c>
      <c r="H67" s="29" t="n"/>
      <c r="I67" s="30" t="n"/>
      <c r="J67" s="29" t="n"/>
      <c r="K67" s="30" t="n"/>
      <c r="L67" s="29" t="n"/>
      <c r="M67" s="30" t="n"/>
      <c r="O67" s="28" t="n"/>
      <c r="P67" s="28" t="n"/>
    </row>
    <row r="68" outlineLevel="1" ht="15.75" customHeight="1">
      <c r="A68" s="34" t="inlineStr">
        <is>
          <t>SERVICIOS PERSONALES INDIRECTOS -  ESPECIFICA UGI FONDO</t>
        </is>
      </c>
      <c r="B68" s="31" t="n"/>
      <c r="C68" s="32" t="n"/>
      <c r="D68" s="31" t="n">
        <v>36385600</v>
      </c>
      <c r="E68" s="32" t="n">
        <v>15461600</v>
      </c>
      <c r="F68" s="31" t="n">
        <v>26000000</v>
      </c>
      <c r="G68" s="32" t="n">
        <v>18975600</v>
      </c>
      <c r="H68" s="31" t="n"/>
      <c r="I68" s="32" t="n"/>
      <c r="J68" s="31" t="n"/>
      <c r="K68" s="32" t="n"/>
      <c r="L68" s="31" t="n"/>
      <c r="M68" s="32" t="n"/>
    </row>
    <row r="69" outlineLevel="1" ht="15.75" customHeight="1">
      <c r="A69" s="34" t="inlineStr">
        <is>
          <t>ADQUISICIÓN DE BIENES - ESPECIFICA UGI FONDO</t>
        </is>
      </c>
      <c r="B69" s="31" t="n"/>
      <c r="C69" s="32" t="n"/>
      <c r="D69" s="31" t="n">
        <v>33587583</v>
      </c>
      <c r="E69" s="32" t="n">
        <v>0</v>
      </c>
      <c r="F69" s="31" t="n">
        <v>19000000</v>
      </c>
      <c r="G69" s="32" t="n">
        <v>0</v>
      </c>
      <c r="H69" s="31" t="n"/>
      <c r="I69" s="32" t="n"/>
      <c r="J69" s="31" t="n"/>
      <c r="K69" s="32" t="n"/>
      <c r="L69" s="31" t="n"/>
      <c r="M69" s="32" t="n"/>
    </row>
    <row r="70" outlineLevel="1" ht="15.75" customHeight="1">
      <c r="A70" s="34" t="inlineStr">
        <is>
          <t>ADQUISICIÓN DE SERVICIOS - ESPECIFICA UGI FONDO</t>
        </is>
      </c>
      <c r="B70" s="31" t="n"/>
      <c r="C70" s="32" t="n"/>
      <c r="D70" s="31" t="n">
        <v>35132889</v>
      </c>
      <c r="E70" s="32" t="n">
        <v>776441</v>
      </c>
      <c r="F70" s="31" t="n">
        <v>25000000</v>
      </c>
      <c r="G70" s="32" t="n">
        <v>0</v>
      </c>
      <c r="H70" s="31" t="n"/>
      <c r="I70" s="32" t="n"/>
      <c r="J70" s="31" t="n"/>
      <c r="K70" s="32" t="n"/>
      <c r="L70" s="31" t="n"/>
      <c r="M70" s="32" t="n"/>
    </row>
    <row r="71" outlineLevel="1" ht="15.75" customHeight="1">
      <c r="A71" s="38" t="inlineStr">
        <is>
          <t>PRESUPUESTO POR DISTRIBUIR -  ESPECIFICA UGI FONDO</t>
        </is>
      </c>
      <c r="B71" s="39" t="n"/>
      <c r="C71" s="40" t="n"/>
      <c r="D71" s="39" t="n"/>
      <c r="E71" s="40" t="n"/>
      <c r="F71" s="39" t="n">
        <v>10000000</v>
      </c>
      <c r="G71" s="40" t="n">
        <v>0</v>
      </c>
      <c r="H71" s="39" t="n"/>
      <c r="I71" s="40" t="n"/>
      <c r="J71" s="39" t="n"/>
      <c r="K71" s="40" t="n"/>
      <c r="L71" s="39" t="n"/>
      <c r="M71" s="40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2024-12-12T06:47:41Z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