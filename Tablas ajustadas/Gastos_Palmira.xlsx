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55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3" borderId="7" pivotButton="0" quotePrefix="0" xfId="0"/>
    <xf numFmtId="164" fontId="5" fillId="3" borderId="7" pivotButton="0" quotePrefix="0" xfId="0"/>
    <xf numFmtId="164" fontId="5" fillId="3" borderId="8" pivotButton="0" quotePrefix="0" xfId="0"/>
    <xf numFmtId="0" fontId="6" fillId="4" borderId="7" pivotButton="0" quotePrefix="1" xfId="0"/>
    <xf numFmtId="164" fontId="6" fillId="4" borderId="7" pivotButton="0" quotePrefix="0" xfId="0"/>
    <xf numFmtId="164" fontId="6" fillId="4" borderId="8" pivotButton="0" quotePrefix="0" xfId="0"/>
    <xf numFmtId="0" fontId="3" fillId="5" borderId="4" pivotButton="0" quotePrefix="0" xfId="0"/>
    <xf numFmtId="164" fontId="3" fillId="5" borderId="7" pivotButton="0" quotePrefix="0" xfId="0"/>
    <xf numFmtId="164" fontId="3" fillId="5" borderId="5" pivotButton="0" quotePrefix="0" xfId="0"/>
    <xf numFmtId="164" fontId="3" fillId="5" borderId="6" pivotButton="0" quotePrefix="0" xfId="0"/>
    <xf numFmtId="0" fontId="0" fillId="0" borderId="9" pivotButton="0" quotePrefix="0" xfId="1"/>
    <xf numFmtId="164" fontId="0" fillId="0" borderId="1" pivotButton="0" quotePrefix="0" xfId="1"/>
    <xf numFmtId="164" fontId="0" fillId="0" borderId="3" pivotButton="0" quotePrefix="0" xfId="1"/>
    <xf numFmtId="0" fontId="0" fillId="0" borderId="9" applyAlignment="1" pivotButton="0" quotePrefix="0" xfId="0">
      <alignment horizontal="left" vertical="center" indent="3"/>
    </xf>
    <xf numFmtId="164" fontId="0" fillId="0" borderId="9" applyAlignment="1" pivotButton="0" quotePrefix="0" xfId="1">
      <alignment horizontal="left" vertical="center" indent="3"/>
    </xf>
    <xf numFmtId="164" fontId="0" fillId="0" borderId="10" applyAlignment="1" pivotButton="0" quotePrefix="0" xfId="1">
      <alignment horizontal="left" vertical="center" indent="3"/>
    </xf>
    <xf numFmtId="0" fontId="0" fillId="0" borderId="0" applyAlignment="1" pivotButton="0" quotePrefix="0" xfId="0">
      <alignment vertical="center"/>
    </xf>
    <xf numFmtId="164" fontId="0" fillId="0" borderId="9" pivotButton="0" quotePrefix="0" xfId="1"/>
    <xf numFmtId="164" fontId="0" fillId="0" borderId="10" pivotButton="0" quotePrefix="0" xfId="1"/>
    <xf numFmtId="0" fontId="0" fillId="0" borderId="9" applyAlignment="1" pivotButton="0" quotePrefix="0" xfId="0">
      <alignment horizontal="left" vertical="center" wrapText="1" indent="3"/>
    </xf>
    <xf numFmtId="164" fontId="0" fillId="0" borderId="9" applyAlignment="1" pivotButton="0" quotePrefix="0" xfId="1">
      <alignment horizontal="left" vertical="center" wrapText="1" indent="3"/>
    </xf>
    <xf numFmtId="164" fontId="0" fillId="0" borderId="10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vertical="center" wrapText="1"/>
    </xf>
    <xf numFmtId="164" fontId="3" fillId="5" borderId="7" pivotButton="0" quotePrefix="0" xfId="1"/>
    <xf numFmtId="164" fontId="3" fillId="5" borderId="8" pivotButton="0" quotePrefix="0" xfId="1"/>
    <xf numFmtId="0" fontId="0" fillId="0" borderId="9" applyAlignment="1" pivotButton="0" quotePrefix="0" xfId="1">
      <alignment horizontal="left" indent="3"/>
    </xf>
    <xf numFmtId="164" fontId="0" fillId="0" borderId="9" applyAlignment="1" pivotButton="0" quotePrefix="0" xfId="1">
      <alignment horizontal="left" indent="3"/>
    </xf>
    <xf numFmtId="164" fontId="0" fillId="0" borderId="10" applyAlignment="1" pivotButton="0" quotePrefix="0" xfId="1">
      <alignment horizontal="left" indent="3"/>
    </xf>
    <xf numFmtId="164" fontId="0" fillId="0" borderId="0" pivotButton="0" quotePrefix="0" xfId="1"/>
    <xf numFmtId="164" fontId="6" fillId="4" borderId="7" pivotButton="0" quotePrefix="0" xfId="1"/>
    <xf numFmtId="164" fontId="6" fillId="4" borderId="8" pivotButton="0" quotePrefix="0" xfId="1"/>
    <xf numFmtId="0" fontId="0" fillId="0" borderId="1" pivotButton="0" quotePrefix="0" xfId="1"/>
    <xf numFmtId="0" fontId="0" fillId="0" borderId="4" applyAlignment="1" pivotButton="0" quotePrefix="0" xfId="1">
      <alignment horizontal="left" indent="3"/>
    </xf>
    <xf numFmtId="164" fontId="0" fillId="0" borderId="4" applyAlignment="1" pivotButton="0" quotePrefix="0" xfId="1">
      <alignment horizontal="left" indent="3"/>
    </xf>
    <xf numFmtId="164" fontId="0" fillId="0" borderId="6" applyAlignment="1" pivotButton="0" quotePrefix="0" xfId="1">
      <alignment horizontal="left" indent="3"/>
    </xf>
    <xf numFmtId="0" fontId="4" fillId="0" borderId="1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"/>
  <sheetViews>
    <sheetView tabSelected="1" workbookViewId="0">
      <selection activeCell="B10" sqref="B10"/>
    </sheetView>
  </sheetViews>
  <sheetFormatPr baseColWidth="10" defaultColWidth="0" defaultRowHeight="15" zeroHeight="1" outlineLevelRow="1"/>
  <cols>
    <col width="50.85546875" customWidth="1" min="1" max="1"/>
    <col width="23" bestFit="1" customWidth="1" min="2" max="13"/>
    <col hidden="1" width="11.42578125" customWidth="1" min="21" max="16384"/>
  </cols>
  <sheetData>
    <row r="1">
      <c r="A1" s="47" t="inlineStr">
        <is>
          <t>CONSOLID. GESTION GENERAL SEDE PALMIRA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9" t="n"/>
    </row>
    <row r="2">
      <c r="A2" s="50" t="n"/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2" t="n"/>
    </row>
    <row r="3">
      <c r="A3" s="53" t="inlineStr">
        <is>
          <t>CONCEPTO</t>
        </is>
      </c>
      <c r="B3" s="54" t="n">
        <v>2016</v>
      </c>
      <c r="C3" s="49" t="n"/>
      <c r="D3" s="54" t="n">
        <v>2017</v>
      </c>
      <c r="E3" s="49" t="n"/>
      <c r="F3" s="54" t="n">
        <v>2018</v>
      </c>
      <c r="G3" s="49" t="n"/>
      <c r="H3" s="54" t="n">
        <v>2019</v>
      </c>
      <c r="I3" s="49" t="n"/>
      <c r="J3" s="54" t="n">
        <v>2020</v>
      </c>
      <c r="K3" s="49" t="n"/>
      <c r="L3" s="54" t="n">
        <v>2021</v>
      </c>
      <c r="M3" s="49" t="n"/>
    </row>
    <row r="4">
      <c r="A4" s="50" t="n"/>
      <c r="B4" s="10" t="inlineStr">
        <is>
          <t>Apropiación definitiva</t>
        </is>
      </c>
      <c r="C4" s="11" t="inlineStr">
        <is>
          <t>Registro</t>
        </is>
      </c>
      <c r="D4" s="10" t="inlineStr">
        <is>
          <t>Apropiación definitiva</t>
        </is>
      </c>
      <c r="E4" s="11" t="inlineStr">
        <is>
          <t>Registro</t>
        </is>
      </c>
      <c r="F4" s="10" t="inlineStr">
        <is>
          <t>Apropiación definitiva</t>
        </is>
      </c>
      <c r="G4" s="11" t="inlineStr">
        <is>
          <t>Registro</t>
        </is>
      </c>
      <c r="H4" s="10" t="inlineStr">
        <is>
          <t>Apropiación definitiva</t>
        </is>
      </c>
      <c r="I4" s="11" t="inlineStr">
        <is>
          <t>Registro</t>
        </is>
      </c>
      <c r="J4" s="10" t="inlineStr">
        <is>
          <t>Apropiación definitiva</t>
        </is>
      </c>
      <c r="K4" s="11" t="inlineStr">
        <is>
          <t>Registro</t>
        </is>
      </c>
      <c r="L4" s="10" t="inlineStr">
        <is>
          <t>Apropiación definitiva</t>
        </is>
      </c>
      <c r="M4" s="11" t="inlineStr">
        <is>
          <t>Registro</t>
        </is>
      </c>
    </row>
    <row r="5" ht="18.75" customHeight="1">
      <c r="A5" s="12" t="inlineStr">
        <is>
          <t>GESTIÓN GENERAL</t>
        </is>
      </c>
      <c r="B5" s="13">
        <f>+B6+B65</f>
        <v/>
      </c>
      <c r="C5" s="14">
        <f>+C6+C65</f>
        <v/>
      </c>
      <c r="D5" s="13">
        <f>+D6+D65</f>
        <v/>
      </c>
      <c r="E5" s="14">
        <f>+E6+E65</f>
        <v/>
      </c>
      <c r="F5" s="13">
        <f>+F6+F65</f>
        <v/>
      </c>
      <c r="G5" s="14">
        <f>+G6+G65</f>
        <v/>
      </c>
      <c r="H5" s="13">
        <f>+H6+H65</f>
        <v/>
      </c>
      <c r="I5" s="14">
        <f>+I6+I65</f>
        <v/>
      </c>
      <c r="J5" s="13">
        <f>+J6+J65</f>
        <v/>
      </c>
      <c r="K5" s="14">
        <f>+K6+K65</f>
        <v/>
      </c>
      <c r="L5" s="13">
        <f>+L6+L65</f>
        <v/>
      </c>
      <c r="M5" s="14">
        <f>+M6+M65</f>
        <v/>
      </c>
    </row>
    <row r="6" ht="15.75" customHeight="1">
      <c r="A6" s="15" t="inlineStr">
        <is>
          <t>- NIVEL CENTRAL</t>
        </is>
      </c>
      <c r="B6" s="16">
        <f>+B7+B22</f>
        <v/>
      </c>
      <c r="C6" s="17">
        <f>+C7+C22</f>
        <v/>
      </c>
      <c r="D6" s="16">
        <f>+D7+D22</f>
        <v/>
      </c>
      <c r="E6" s="17">
        <f>+E7+E22</f>
        <v/>
      </c>
      <c r="F6" s="16">
        <f>+F7+F22</f>
        <v/>
      </c>
      <c r="G6" s="17">
        <f>+G7+G22</f>
        <v/>
      </c>
      <c r="H6" s="16">
        <f>+H7+H22</f>
        <v/>
      </c>
      <c r="I6" s="17">
        <f>+I7+I22</f>
        <v/>
      </c>
      <c r="J6" s="16">
        <f>+J7+J22</f>
        <v/>
      </c>
      <c r="K6" s="17">
        <f>+K7+K22</f>
        <v/>
      </c>
      <c r="L6" s="16">
        <f>+L7+L22</f>
        <v/>
      </c>
      <c r="M6" s="17">
        <f>+M7+M22</f>
        <v/>
      </c>
    </row>
    <row r="7">
      <c r="A7" s="18" t="inlineStr">
        <is>
          <t xml:space="preserve">I. Funcionamiento </t>
        </is>
      </c>
      <c r="B7" s="19">
        <f>+B8+B13+B17</f>
        <v/>
      </c>
      <c r="C7" s="20">
        <f>+C8+C13+C17</f>
        <v/>
      </c>
      <c r="D7" s="19">
        <f>+D8+D13+D17</f>
        <v/>
      </c>
      <c r="E7" s="20">
        <f>+E8+E13+E17</f>
        <v/>
      </c>
      <c r="F7" s="19">
        <f>+F8+F13+F17</f>
        <v/>
      </c>
      <c r="G7" s="20">
        <f>+G8+G13+G17</f>
        <v/>
      </c>
      <c r="H7" s="19">
        <f>+H8+H13+H17</f>
        <v/>
      </c>
      <c r="I7" s="20">
        <f>+I8+I13+I17</f>
        <v/>
      </c>
      <c r="J7" s="19">
        <f>+J8+J13+J17</f>
        <v/>
      </c>
      <c r="K7" s="20">
        <f>+K8+K13+K17</f>
        <v/>
      </c>
      <c r="L7" s="19">
        <f>+L8+L13+L17</f>
        <v/>
      </c>
      <c r="M7" s="21">
        <f>+M8+M13+M17</f>
        <v/>
      </c>
    </row>
    <row r="8" ht="15.75" customHeight="1">
      <c r="A8" s="22" t="inlineStr">
        <is>
          <t>GASTOS DE PERSONAL</t>
        </is>
      </c>
      <c r="B8" s="23">
        <f>SUM(B9:B12)</f>
        <v/>
      </c>
      <c r="C8" s="24">
        <f>SUM(C9:C12)</f>
        <v/>
      </c>
      <c r="D8" s="23">
        <f>SUM(D9:D12)</f>
        <v/>
      </c>
      <c r="E8" s="24">
        <f>SUM(E9:E12)</f>
        <v/>
      </c>
      <c r="F8" s="23">
        <f>SUM(F9:F12)</f>
        <v/>
      </c>
      <c r="G8" s="24">
        <f>SUM(G9:G12)</f>
        <v/>
      </c>
      <c r="H8" s="23">
        <f>SUM(H9:H12)</f>
        <v/>
      </c>
      <c r="I8" s="24">
        <f>SUM(I9:I12)</f>
        <v/>
      </c>
      <c r="J8" s="23">
        <f>SUM(J9:J12)</f>
        <v/>
      </c>
      <c r="K8" s="24">
        <f>SUM(K9:K12)</f>
        <v/>
      </c>
      <c r="L8" s="23">
        <f>SUM(L9:L12)</f>
        <v/>
      </c>
      <c r="M8" s="24">
        <f>SUM(M9:M12)</f>
        <v/>
      </c>
    </row>
    <row r="9" outlineLevel="1" ht="15.75" customHeight="1">
      <c r="A9" s="25" t="inlineStr">
        <is>
          <t>SERVICIOS PERSONALES ASOCIADOS A NOMINA</t>
        </is>
      </c>
      <c r="B9" s="26" t="n">
        <v>14858531529</v>
      </c>
      <c r="C9" s="27" t="n">
        <v>14835273386</v>
      </c>
      <c r="D9" s="26" t="n">
        <v>16094051011</v>
      </c>
      <c r="E9" s="27" t="n">
        <v>16094051011</v>
      </c>
      <c r="F9" s="26" t="n">
        <v>17322775144</v>
      </c>
      <c r="G9" s="27" t="n">
        <v>17322775144</v>
      </c>
      <c r="H9" s="26" t="n">
        <v>18511399973</v>
      </c>
      <c r="I9" s="27" t="n">
        <v>18511399973</v>
      </c>
      <c r="J9" s="26" t="n">
        <v>19408141078</v>
      </c>
      <c r="K9" s="27" t="n">
        <v>19408141078</v>
      </c>
      <c r="L9" s="26" t="n">
        <v>20098304299</v>
      </c>
      <c r="M9" s="27" t="n">
        <v>20090375026</v>
      </c>
    </row>
    <row r="10" outlineLevel="1" ht="15.75" customHeight="1">
      <c r="A10" s="25" t="inlineStr">
        <is>
          <t>OTROS GASTOS ASOCIADOS A NOMINA</t>
        </is>
      </c>
      <c r="B10" s="26" t="n">
        <v>5094834910</v>
      </c>
      <c r="C10" s="27" t="n">
        <v>5094834513</v>
      </c>
      <c r="D10" s="26" t="n">
        <v>5438733173</v>
      </c>
      <c r="E10" s="27" t="n">
        <v>5438733173</v>
      </c>
      <c r="F10" s="26" t="n">
        <v>5708641532</v>
      </c>
      <c r="G10" s="27" t="n">
        <v>5708641532</v>
      </c>
      <c r="H10" s="26" t="n">
        <v>6123717402</v>
      </c>
      <c r="I10" s="27" t="n">
        <v>6123717402</v>
      </c>
      <c r="J10" s="26" t="n">
        <v>6579009227</v>
      </c>
      <c r="K10" s="27" t="n">
        <v>6579009227</v>
      </c>
      <c r="L10" s="26" t="n">
        <v>6803916345</v>
      </c>
      <c r="M10" s="27" t="n">
        <v>6803916345</v>
      </c>
      <c r="O10" s="28" t="n"/>
    </row>
    <row r="11" outlineLevel="1" ht="15.75" customHeight="1">
      <c r="A11" s="25" t="inlineStr">
        <is>
          <t>SERVICIOS PERSONALES INDIRECTOS</t>
        </is>
      </c>
      <c r="B11" s="26" t="n">
        <v>1936666132</v>
      </c>
      <c r="C11" s="27" t="n">
        <v>1915982400</v>
      </c>
      <c r="D11" s="26" t="n">
        <v>2103586465</v>
      </c>
      <c r="E11" s="27" t="n">
        <v>2088299692</v>
      </c>
      <c r="F11" s="26" t="n">
        <v>2119472400</v>
      </c>
      <c r="G11" s="27" t="n">
        <v>2096970042</v>
      </c>
      <c r="H11" s="26" t="n">
        <v>2798265075</v>
      </c>
      <c r="I11" s="27" t="n">
        <v>2742064957</v>
      </c>
      <c r="J11" s="26" t="n">
        <v>2659608217</v>
      </c>
      <c r="K11" s="27" t="n">
        <v>2608523185</v>
      </c>
      <c r="L11" s="26" t="n">
        <v>2869630770</v>
      </c>
      <c r="M11" s="27" t="n">
        <v>2818101912</v>
      </c>
      <c r="O11" s="28" t="n"/>
    </row>
    <row r="12" outlineLevel="1" ht="15.75" customHeight="1">
      <c r="A12" s="25" t="inlineStr">
        <is>
          <t>CONTRIBUCIONES INHERENTES A LA NOMINA</t>
        </is>
      </c>
      <c r="B12" s="26" t="n">
        <v>3984995087</v>
      </c>
      <c r="C12" s="27" t="n">
        <v>3984995087</v>
      </c>
      <c r="D12" s="26" t="n">
        <v>5137314469</v>
      </c>
      <c r="E12" s="27" t="n">
        <v>5137314469</v>
      </c>
      <c r="F12" s="26" t="n">
        <v>5210157105</v>
      </c>
      <c r="G12" s="27" t="n">
        <v>5210157105</v>
      </c>
      <c r="H12" s="26" t="n">
        <v>5592463471</v>
      </c>
      <c r="I12" s="27" t="n">
        <v>5592463471</v>
      </c>
      <c r="J12" s="26" t="n">
        <v>5919334914</v>
      </c>
      <c r="K12" s="27" t="n">
        <v>5919334914</v>
      </c>
      <c r="L12" s="26" t="n">
        <v>6155068186</v>
      </c>
      <c r="M12" s="27" t="n">
        <v>6155068186</v>
      </c>
      <c r="O12" s="28" t="n"/>
    </row>
    <row r="13" ht="15.75" customHeight="1">
      <c r="A13" s="22" t="inlineStr">
        <is>
          <t>GASTOS GENERALES</t>
        </is>
      </c>
      <c r="B13" s="29">
        <f>SUM(B14:B16)</f>
        <v/>
      </c>
      <c r="C13" s="30">
        <f>SUM(C14:C16)</f>
        <v/>
      </c>
      <c r="D13" s="29">
        <f>SUM(D14:D16)</f>
        <v/>
      </c>
      <c r="E13" s="30">
        <f>SUM(E14:E16)</f>
        <v/>
      </c>
      <c r="F13" s="29">
        <f>SUM(F14:F16)</f>
        <v/>
      </c>
      <c r="G13" s="30">
        <f>SUM(G14:G16)</f>
        <v/>
      </c>
      <c r="H13" s="29">
        <f>SUM(H14:H16)</f>
        <v/>
      </c>
      <c r="I13" s="30">
        <f>SUM(I14:I16)</f>
        <v/>
      </c>
      <c r="J13" s="29">
        <f>SUM(J14:J16)</f>
        <v/>
      </c>
      <c r="K13" s="30">
        <f>SUM(K14:K16)</f>
        <v/>
      </c>
      <c r="L13" s="29">
        <f>SUM(L14:L16)</f>
        <v/>
      </c>
      <c r="M13" s="30">
        <f>SUM(M14:M16)</f>
        <v/>
      </c>
      <c r="O13" s="28" t="n"/>
    </row>
    <row r="14" outlineLevel="1" ht="15.75" customHeight="1">
      <c r="A14" s="31" t="inlineStr">
        <is>
          <t>ADQUISICIÓN DE BIENES</t>
        </is>
      </c>
      <c r="B14" s="32" t="n">
        <v>155830152</v>
      </c>
      <c r="C14" s="33" t="n">
        <v>149289527</v>
      </c>
      <c r="D14" s="32" t="n">
        <v>250987187</v>
      </c>
      <c r="E14" s="33" t="n">
        <v>243562934</v>
      </c>
      <c r="F14" s="32" t="n">
        <v>295844469</v>
      </c>
      <c r="G14" s="33" t="n">
        <v>264286794</v>
      </c>
      <c r="H14" s="32" t="n">
        <v>351132447</v>
      </c>
      <c r="I14" s="33" t="n">
        <v>350806377</v>
      </c>
      <c r="J14" s="32" t="n">
        <v>322174560</v>
      </c>
      <c r="K14" s="33" t="n">
        <v>216904349</v>
      </c>
      <c r="L14" s="32" t="n">
        <v>190473732</v>
      </c>
      <c r="M14" s="33" t="n">
        <v>138437365</v>
      </c>
      <c r="O14" s="34" t="n"/>
    </row>
    <row r="15" outlineLevel="1" ht="15.75" customHeight="1">
      <c r="A15" s="31" t="inlineStr">
        <is>
          <t>ADQUISICIÓN DE SERVICIOS</t>
        </is>
      </c>
      <c r="B15" s="32" t="n">
        <v>1627367825</v>
      </c>
      <c r="C15" s="33" t="n">
        <v>1626242054</v>
      </c>
      <c r="D15" s="32" t="n">
        <v>1958089957</v>
      </c>
      <c r="E15" s="33" t="n">
        <v>1952343231</v>
      </c>
      <c r="F15" s="32" t="n">
        <v>1558900374</v>
      </c>
      <c r="G15" s="33" t="n">
        <v>1554622378</v>
      </c>
      <c r="H15" s="32" t="n">
        <v>1905194281</v>
      </c>
      <c r="I15" s="33" t="n">
        <v>1849940138</v>
      </c>
      <c r="J15" s="32" t="n">
        <v>1768490785</v>
      </c>
      <c r="K15" s="33" t="n">
        <v>1721294300</v>
      </c>
      <c r="L15" s="32" t="n">
        <v>2126640218</v>
      </c>
      <c r="M15" s="33" t="n">
        <v>1909181400</v>
      </c>
      <c r="O15" s="34" t="n"/>
    </row>
    <row r="16" outlineLevel="1" ht="15.75" customHeight="1">
      <c r="A16" s="31" t="inlineStr">
        <is>
          <t>IMPUESTOS, CONTRIBUCIONES Y MULTAS</t>
        </is>
      </c>
      <c r="B16" s="32" t="n">
        <v>66791405</v>
      </c>
      <c r="C16" s="33" t="n">
        <v>66128586</v>
      </c>
      <c r="D16" s="32" t="n">
        <v>71261597</v>
      </c>
      <c r="E16" s="33" t="n">
        <v>71261597</v>
      </c>
      <c r="F16" s="32" t="n">
        <v>80191583</v>
      </c>
      <c r="G16" s="33" t="n">
        <v>80191583</v>
      </c>
      <c r="H16" s="32" t="n">
        <v>74826949</v>
      </c>
      <c r="I16" s="33" t="n">
        <v>74826949</v>
      </c>
      <c r="J16" s="32" t="n">
        <v>80123808</v>
      </c>
      <c r="K16" s="33" t="n">
        <v>80123808</v>
      </c>
      <c r="L16" s="32" t="n">
        <v>83663104</v>
      </c>
      <c r="M16" s="33" t="n">
        <v>83663104</v>
      </c>
      <c r="O16" s="34" t="n"/>
    </row>
    <row r="17" ht="15.75" customHeight="1">
      <c r="A17" s="22" t="inlineStr">
        <is>
          <t>TRANSFERENCIAS</t>
        </is>
      </c>
      <c r="B17" s="29">
        <f>SUM(B18:B21)</f>
        <v/>
      </c>
      <c r="C17" s="30">
        <f>SUM(C18:C21)</f>
        <v/>
      </c>
      <c r="D17" s="29">
        <f>SUM(D18:D21)</f>
        <v/>
      </c>
      <c r="E17" s="30">
        <f>SUM(E18:E21)</f>
        <v/>
      </c>
      <c r="F17" s="29">
        <f>SUM(F18:F21)</f>
        <v/>
      </c>
      <c r="G17" s="30">
        <f>SUM(G18:G21)</f>
        <v/>
      </c>
      <c r="H17" s="29">
        <f>SUM(H18:H21)</f>
        <v/>
      </c>
      <c r="I17" s="30">
        <f>SUM(I18:I21)</f>
        <v/>
      </c>
      <c r="J17" s="29">
        <f>SUM(J18:J21)</f>
        <v/>
      </c>
      <c r="K17" s="30">
        <f>SUM(K18:K21)</f>
        <v/>
      </c>
      <c r="L17" s="29">
        <f>SUM(L18:L21)</f>
        <v/>
      </c>
      <c r="M17" s="30">
        <f>SUM(M18:M21)</f>
        <v/>
      </c>
      <c r="O17" s="34" t="n"/>
      <c r="P17" s="34" t="n"/>
    </row>
    <row r="18" outlineLevel="1" ht="15.75" customHeight="1">
      <c r="A18" s="31" t="inlineStr">
        <is>
          <t>BIENESTAR ESTUDIANTES</t>
        </is>
      </c>
      <c r="B18" s="32" t="n">
        <v>666328738</v>
      </c>
      <c r="C18" s="33" t="n">
        <v>621905552</v>
      </c>
      <c r="D18" s="32" t="n">
        <v>733746602</v>
      </c>
      <c r="E18" s="33" t="n">
        <v>542571692</v>
      </c>
      <c r="F18" s="32" t="n">
        <v>657403175</v>
      </c>
      <c r="G18" s="33" t="n">
        <v>512383960</v>
      </c>
      <c r="H18" s="32" t="n">
        <v>716793277</v>
      </c>
      <c r="I18" s="33" t="n">
        <v>555506848</v>
      </c>
      <c r="J18" s="32" t="n">
        <v>826010345</v>
      </c>
      <c r="K18" s="33" t="n">
        <v>477424551</v>
      </c>
      <c r="L18" s="32" t="n">
        <v>1031875896</v>
      </c>
      <c r="M18" s="33" t="n">
        <v>577360831</v>
      </c>
      <c r="O18" s="34" t="n"/>
      <c r="P18" s="34" t="n"/>
    </row>
    <row r="19" outlineLevel="1" ht="15.75" customHeight="1">
      <c r="A19" s="31" t="inlineStr">
        <is>
          <t>TRANSFERENCIAS AL SECTOR PÚBLICO</t>
        </is>
      </c>
      <c r="B19" s="32" t="n">
        <v>9737298</v>
      </c>
      <c r="C19" s="33" t="n">
        <v>9737298</v>
      </c>
      <c r="D19" s="32" t="n">
        <v>10718026</v>
      </c>
      <c r="E19" s="33" t="n">
        <v>10718026</v>
      </c>
      <c r="F19" s="32" t="n">
        <v>10639625</v>
      </c>
      <c r="G19" s="33" t="n">
        <v>10639625</v>
      </c>
      <c r="H19" s="32" t="n">
        <v>10768721</v>
      </c>
      <c r="I19" s="33" t="n">
        <v>10768721</v>
      </c>
      <c r="J19" s="32" t="n">
        <v>10505477</v>
      </c>
      <c r="K19" s="33" t="n">
        <v>10505477</v>
      </c>
      <c r="L19" s="32" t="n">
        <v>12000000</v>
      </c>
      <c r="M19" s="33" t="n">
        <v>11700342</v>
      </c>
      <c r="O19" s="34" t="n"/>
      <c r="P19" s="34" t="n"/>
    </row>
    <row r="20" outlineLevel="1" ht="15.75" customHeight="1">
      <c r="A20" s="31" t="inlineStr">
        <is>
          <t>OTRAS TRANSFERENCIAS CORRIENTES</t>
        </is>
      </c>
      <c r="B20" s="32" t="n">
        <v>1727660</v>
      </c>
      <c r="C20" s="33" t="n">
        <v>0</v>
      </c>
      <c r="D20" s="32" t="n"/>
      <c r="E20" s="33" t="n"/>
      <c r="F20" s="32" t="n"/>
      <c r="G20" s="33" t="n"/>
      <c r="H20" s="32" t="n"/>
      <c r="I20" s="33" t="n"/>
      <c r="J20" s="32" t="n"/>
      <c r="K20" s="33" t="n"/>
      <c r="L20" s="32" t="n">
        <v>48135684</v>
      </c>
      <c r="M20" s="33" t="n">
        <v>0</v>
      </c>
      <c r="O20" s="34" t="n"/>
      <c r="P20" s="34" t="n"/>
    </row>
    <row r="21" outlineLevel="1" ht="15.75" customHeight="1">
      <c r="A21" s="31" t="inlineStr">
        <is>
          <t>TRANSFERENCIAS OPERACIONES INTERNAS SIN CONTRAPRESTACIÓN</t>
        </is>
      </c>
      <c r="B21" s="32" t="n">
        <v>3290000</v>
      </c>
      <c r="C21" s="33" t="n">
        <v>3289733</v>
      </c>
      <c r="D21" s="32" t="n"/>
      <c r="E21" s="33" t="n"/>
      <c r="F21" s="32" t="n">
        <v>222888</v>
      </c>
      <c r="G21" s="33" t="n">
        <v>222888</v>
      </c>
      <c r="H21" s="32" t="n"/>
      <c r="I21" s="33" t="n"/>
      <c r="J21" s="32" t="n"/>
      <c r="K21" s="33" t="n"/>
      <c r="L21" s="32" t="n"/>
      <c r="M21" s="33" t="n"/>
      <c r="O21" s="34" t="n"/>
      <c r="P21" s="34" t="n"/>
    </row>
    <row r="22" ht="15.75" customHeight="1">
      <c r="A22" s="19" t="inlineStr">
        <is>
          <t>II. Inversion</t>
        </is>
      </c>
      <c r="B22" s="35">
        <f>+B23+B28+B34+B39+B44+B48+B54+B58+B62</f>
        <v/>
      </c>
      <c r="C22" s="36">
        <f>+C23+C28+C34+C39+C44+C48+C54+C58+C62</f>
        <v/>
      </c>
      <c r="D22" s="35">
        <f>+D23+D28+D34+D39+D44+D48+D54+D58+D62</f>
        <v/>
      </c>
      <c r="E22" s="36">
        <f>+E23+E28+E34+E39+E44+E48+E54+E58+E62</f>
        <v/>
      </c>
      <c r="F22" s="35">
        <f>+F23+F28+F34+F39+F44+F48+F54+F58+F62</f>
        <v/>
      </c>
      <c r="G22" s="36">
        <f>+G23+G28+G34+G39+G44+G48+G54+G58+G62</f>
        <v/>
      </c>
      <c r="H22" s="35">
        <f>+H23+H28+H34+H39+H44+H48+H54+H58+H62</f>
        <v/>
      </c>
      <c r="I22" s="36">
        <f>+I23+I28+I34+I39+I44+I48+I54+I58+I62</f>
        <v/>
      </c>
      <c r="J22" s="35">
        <f>+J23+J28+J34+J39+J44+J48+J54+J58+J62</f>
        <v/>
      </c>
      <c r="K22" s="36">
        <f>+K23+K28+K34+K39+K44+K48+K54+K58+K62</f>
        <v/>
      </c>
      <c r="L22" s="35">
        <f>+L23+L28+L34+L39+L44+L48+L54+L58+L62</f>
        <v/>
      </c>
      <c r="M22" s="36">
        <f>+M23+M28+M34+M39+M44+M48+M54+M58+M62</f>
        <v/>
      </c>
      <c r="O22" s="34" t="n"/>
      <c r="P22" s="34" t="n"/>
    </row>
    <row r="23" ht="15.75" customHeight="1">
      <c r="A23" s="22" t="inlineStr">
        <is>
          <t>ADQUS. Y/O PRODUCC. DE EQUIPOS, MATER. SUMINIS. Y SERVICIOS PROPIOS DEL SECTOR</t>
        </is>
      </c>
      <c r="B23" s="29">
        <f>SUM(B24:B27)</f>
        <v/>
      </c>
      <c r="C23" s="30">
        <f>SUM(C24:C27)</f>
        <v/>
      </c>
      <c r="D23" s="29">
        <f>SUM(D24:D27)</f>
        <v/>
      </c>
      <c r="E23" s="30">
        <f>SUM(E24:E27)</f>
        <v/>
      </c>
      <c r="F23" s="29">
        <f>SUM(F24:F27)</f>
        <v/>
      </c>
      <c r="G23" s="30">
        <f>SUM(G24:G27)</f>
        <v/>
      </c>
      <c r="H23" s="29">
        <f>SUM(H24:H27)</f>
        <v/>
      </c>
      <c r="I23" s="30">
        <f>SUM(I24:I27)</f>
        <v/>
      </c>
      <c r="J23" s="29">
        <f>SUM(J24:J27)</f>
        <v/>
      </c>
      <c r="K23" s="30">
        <f>SUM(K24:K27)</f>
        <v/>
      </c>
      <c r="L23" s="29">
        <f>SUM(L24:L27)</f>
        <v/>
      </c>
      <c r="M23" s="30">
        <f>SUM(M24:M27)</f>
        <v/>
      </c>
      <c r="O23" s="34" t="n"/>
      <c r="P23" s="34" t="n"/>
    </row>
    <row r="24" outlineLevel="1" ht="15.75" customHeight="1">
      <c r="A24" s="37" t="inlineStr">
        <is>
          <t>GASTOS GENERALES</t>
        </is>
      </c>
      <c r="B24" s="38" t="n">
        <v>1250897949</v>
      </c>
      <c r="C24" s="39" t="n">
        <v>995601462</v>
      </c>
      <c r="D24" s="38" t="n">
        <v>1148767004</v>
      </c>
      <c r="E24" s="39" t="n">
        <v>1110109872</v>
      </c>
      <c r="F24" s="38" t="n">
        <v>2498174666</v>
      </c>
      <c r="G24" s="39" t="n">
        <v>2473661352</v>
      </c>
      <c r="H24" s="38" t="n">
        <v>416000000</v>
      </c>
      <c r="I24" s="39" t="n">
        <v>409945938</v>
      </c>
      <c r="J24" s="38" t="n">
        <v>137308063</v>
      </c>
      <c r="K24" s="39" t="n">
        <v>133613230</v>
      </c>
      <c r="L24" s="38" t="n">
        <v>116657020</v>
      </c>
      <c r="M24" s="39" t="n">
        <v>116496540</v>
      </c>
      <c r="O24" s="34" t="n"/>
      <c r="P24" s="34" t="n"/>
    </row>
    <row r="25" outlineLevel="1" ht="15.75" customHeight="1">
      <c r="A25" s="37" t="inlineStr">
        <is>
          <t>GASTOS DE PERSONAL</t>
        </is>
      </c>
      <c r="B25" s="38" t="n">
        <v>41145092</v>
      </c>
      <c r="C25" s="39" t="n">
        <v>1529092</v>
      </c>
      <c r="D25" s="38" t="n">
        <v>47603200</v>
      </c>
      <c r="E25" s="39" t="n">
        <v>44372028</v>
      </c>
      <c r="F25" s="38" t="n">
        <v>124633316</v>
      </c>
      <c r="G25" s="39" t="n">
        <v>95051518</v>
      </c>
      <c r="H25" s="38" t="n">
        <v>45767940</v>
      </c>
      <c r="I25" s="39" t="n">
        <v>45456467</v>
      </c>
      <c r="J25" s="38" t="n">
        <v>20231473</v>
      </c>
      <c r="K25" s="39" t="n">
        <v>16509286</v>
      </c>
      <c r="L25" s="38" t="n">
        <v>10000000</v>
      </c>
      <c r="M25" s="39" t="n">
        <v>9999840</v>
      </c>
      <c r="O25" s="34" t="n"/>
      <c r="P25" s="34" t="n"/>
    </row>
    <row r="26" outlineLevel="1" ht="15.75" customHeight="1">
      <c r="A26" s="37" t="inlineStr">
        <is>
          <t>TRANSFERENCIAS</t>
        </is>
      </c>
      <c r="B26" s="38" t="n"/>
      <c r="C26" s="39" t="n"/>
      <c r="D26" s="38" t="n">
        <v>8027500</v>
      </c>
      <c r="E26" s="39" t="n">
        <v>8027500</v>
      </c>
      <c r="F26" s="38" t="n"/>
      <c r="G26" s="39" t="n"/>
      <c r="H26" s="38" t="n"/>
      <c r="I26" s="39" t="n"/>
      <c r="J26" s="38" t="n"/>
      <c r="K26" s="39" t="n"/>
      <c r="L26" s="38" t="n"/>
      <c r="M26" s="39" t="n"/>
      <c r="O26" s="34" t="n"/>
      <c r="P26" s="34" t="n"/>
    </row>
    <row r="27" outlineLevel="1" ht="15.75" customHeight="1">
      <c r="A27" s="37" t="inlineStr">
        <is>
          <t>PRESUPUESTO POR DISTRIBUIR - ADQUS. Y/O PRODUCC. DE EQUIPOS, MATER. SUMINIS. Y SERVICIOS PROPIOS DEL SEC</t>
        </is>
      </c>
      <c r="B27" s="38" t="n"/>
      <c r="C27" s="39" t="n"/>
      <c r="D27" s="38" t="n">
        <v>34</v>
      </c>
      <c r="E27" s="39" t="n">
        <v>0</v>
      </c>
      <c r="F27" s="38" t="n">
        <v>57815</v>
      </c>
      <c r="G27" s="39" t="n">
        <v>0</v>
      </c>
      <c r="H27" s="38" t="n"/>
      <c r="I27" s="39" t="n"/>
      <c r="J27" s="38" t="n"/>
      <c r="K27" s="39" t="n"/>
      <c r="L27" s="38" t="n"/>
      <c r="M27" s="39" t="n"/>
      <c r="O27" s="34" t="n"/>
      <c r="P27" s="34" t="n"/>
    </row>
    <row r="28" ht="15.75" customHeight="1">
      <c r="A28" s="22" t="inlineStr">
        <is>
          <t>DIVULGACIÓN, ASISTENCIA TÉCNICA Y CAPACITACIÓN DEL RECURSO HUMANO.</t>
        </is>
      </c>
      <c r="B28" s="29">
        <f>SUM(B29:B33)</f>
        <v/>
      </c>
      <c r="C28" s="30">
        <f>SUM(C29:C33)</f>
        <v/>
      </c>
      <c r="D28" s="29">
        <f>SUM(D29:D33)</f>
        <v/>
      </c>
      <c r="E28" s="30">
        <f>SUM(E29:E33)</f>
        <v/>
      </c>
      <c r="F28" s="29">
        <f>SUM(F29:F33)</f>
        <v/>
      </c>
      <c r="G28" s="30">
        <f>SUM(G29:G33)</f>
        <v/>
      </c>
      <c r="H28" s="29">
        <f>SUM(H29:H33)</f>
        <v/>
      </c>
      <c r="I28" s="30">
        <f>SUM(I29:I33)</f>
        <v/>
      </c>
      <c r="J28" s="29">
        <f>SUM(J29:J33)</f>
        <v/>
      </c>
      <c r="K28" s="30">
        <f>SUM(K29:K33)</f>
        <v/>
      </c>
      <c r="L28" s="29">
        <f>SUM(L29:L33)</f>
        <v/>
      </c>
      <c r="M28" s="30">
        <f>SUM(M29:M33)</f>
        <v/>
      </c>
      <c r="O28" s="34" t="n"/>
      <c r="P28" s="34" t="n"/>
    </row>
    <row r="29" outlineLevel="1" ht="15.75" customHeight="1">
      <c r="A29" s="37" t="inlineStr">
        <is>
          <t>GASTOS DE PERSONAL</t>
        </is>
      </c>
      <c r="B29" s="38" t="n">
        <v>118978292</v>
      </c>
      <c r="C29" s="39" t="n">
        <v>85734708</v>
      </c>
      <c r="D29" s="38" t="n">
        <v>309837631</v>
      </c>
      <c r="E29" s="39" t="n">
        <v>296615318</v>
      </c>
      <c r="F29" s="38" t="n">
        <v>372286584</v>
      </c>
      <c r="G29" s="39" t="n">
        <v>330733511</v>
      </c>
      <c r="H29" s="38" t="n">
        <v>211286366</v>
      </c>
      <c r="I29" s="39" t="n">
        <v>209260274</v>
      </c>
      <c r="J29" s="38" t="n">
        <v>677360956</v>
      </c>
      <c r="K29" s="39" t="n">
        <v>646709827</v>
      </c>
      <c r="L29" s="38" t="n">
        <v>789385418</v>
      </c>
      <c r="M29" s="39" t="n">
        <v>782329595</v>
      </c>
      <c r="O29" s="34" t="n"/>
      <c r="P29" s="34" t="n"/>
    </row>
    <row r="30" outlineLevel="1" ht="15.75" customHeight="1">
      <c r="A30" s="37" t="inlineStr">
        <is>
          <t>GASTOS GENERALES</t>
        </is>
      </c>
      <c r="B30" s="38" t="n">
        <v>205902160</v>
      </c>
      <c r="C30" s="39" t="n">
        <v>172949823</v>
      </c>
      <c r="D30" s="38" t="n">
        <v>218312372</v>
      </c>
      <c r="E30" s="39" t="n">
        <v>201469880</v>
      </c>
      <c r="F30" s="38" t="n">
        <v>70015810</v>
      </c>
      <c r="G30" s="39" t="n">
        <v>38937836</v>
      </c>
      <c r="H30" s="38" t="n">
        <v>156154388</v>
      </c>
      <c r="I30" s="39" t="n">
        <v>123094422</v>
      </c>
      <c r="J30" s="38" t="n">
        <v>167914285</v>
      </c>
      <c r="K30" s="39" t="n">
        <v>157792277</v>
      </c>
      <c r="L30" s="38" t="n">
        <v>51948712</v>
      </c>
      <c r="M30" s="39" t="n">
        <v>42583086</v>
      </c>
      <c r="O30" s="28" t="n"/>
      <c r="P30" s="28" t="n"/>
    </row>
    <row r="31" outlineLevel="1" ht="15.75" customHeight="1">
      <c r="A31" s="37" t="inlineStr">
        <is>
          <t>PRESUPUESTO POR DISTRIBUIR - DIVULGACIÓN, ASISTENCIA TÉCNICA Y CAPACITACIÓN DEL RECURSO HUMANO.</t>
        </is>
      </c>
      <c r="B31" s="38" t="n"/>
      <c r="C31" s="39" t="n"/>
      <c r="D31" s="38" t="n">
        <v>153701</v>
      </c>
      <c r="E31" s="39" t="n">
        <v>0</v>
      </c>
      <c r="F31" s="38" t="n"/>
      <c r="G31" s="39" t="n"/>
      <c r="H31" s="38" t="n"/>
      <c r="I31" s="39" t="n"/>
      <c r="J31" s="38" t="n"/>
      <c r="K31" s="39" t="n"/>
      <c r="L31" s="38" t="n">
        <v>2501222</v>
      </c>
      <c r="M31" s="39" t="n">
        <v>0</v>
      </c>
      <c r="O31" s="28" t="n"/>
      <c r="P31" s="28" t="n"/>
    </row>
    <row r="32" outlineLevel="1" ht="15.75" customHeight="1">
      <c r="A32" s="37" t="inlineStr">
        <is>
          <t>VIGENCIAS EXPIRADAS GASTOS DE INVERSIÓN</t>
        </is>
      </c>
      <c r="B32" s="38" t="n"/>
      <c r="C32" s="39" t="n"/>
      <c r="D32" s="38" t="n"/>
      <c r="E32" s="39" t="n"/>
      <c r="F32" s="38" t="n"/>
      <c r="G32" s="39" t="n"/>
      <c r="H32" s="38" t="n"/>
      <c r="I32" s="39" t="n"/>
      <c r="J32" s="38" t="n"/>
      <c r="K32" s="39" t="n"/>
      <c r="L32" s="38" t="n">
        <v>2879165</v>
      </c>
      <c r="M32" s="39" t="n">
        <v>0</v>
      </c>
      <c r="O32" s="28" t="n"/>
      <c r="P32" s="28" t="n"/>
    </row>
    <row r="33" outlineLevel="1" ht="15.75" customHeight="1">
      <c r="A33" s="37" t="inlineStr">
        <is>
          <t xml:space="preserve">TRANSFERENCIAS </t>
        </is>
      </c>
      <c r="B33" s="38" t="n"/>
      <c r="C33" s="39" t="n"/>
      <c r="D33" s="38" t="n"/>
      <c r="E33" s="39" t="n"/>
      <c r="F33" s="38" t="n"/>
      <c r="G33" s="39" t="n"/>
      <c r="H33" s="38" t="n"/>
      <c r="I33" s="39" t="n"/>
      <c r="J33" s="38" t="n"/>
      <c r="K33" s="39" t="n"/>
      <c r="L33" s="38" t="n">
        <v>4280000</v>
      </c>
      <c r="M33" s="39" t="n">
        <v>4280000</v>
      </c>
      <c r="O33" s="28" t="n"/>
      <c r="P33" s="28" t="n"/>
    </row>
    <row r="34" ht="15.75" customHeight="1">
      <c r="A34" s="22" t="inlineStr">
        <is>
          <t>ADMINIST., CONTROL Y ORGANIZACIÓN INSTITUCIONAL PARA APOYO A LA ADMINISTRACION DEL ESTADO</t>
        </is>
      </c>
      <c r="B34" s="29">
        <f>SUM(B35:B38)</f>
        <v/>
      </c>
      <c r="C34" s="30">
        <f>SUM(C35:C38)</f>
        <v/>
      </c>
      <c r="D34" s="29">
        <f>SUM(D35:D38)</f>
        <v/>
      </c>
      <c r="E34" s="30">
        <f>SUM(E35:E38)</f>
        <v/>
      </c>
      <c r="F34" s="29">
        <f>SUM(F35:F38)</f>
        <v/>
      </c>
      <c r="G34" s="30">
        <f>SUM(G35:G38)</f>
        <v/>
      </c>
      <c r="H34" s="29">
        <f>SUM(H35:H38)</f>
        <v/>
      </c>
      <c r="I34" s="30">
        <f>SUM(I35:I38)</f>
        <v/>
      </c>
      <c r="J34" s="29">
        <f>SUM(J35:J38)</f>
        <v/>
      </c>
      <c r="K34" s="30">
        <f>SUM(K35:K38)</f>
        <v/>
      </c>
      <c r="L34" s="29">
        <f>SUM(L35:L38)</f>
        <v/>
      </c>
      <c r="M34" s="30">
        <f>SUM(M35:M38)</f>
        <v/>
      </c>
      <c r="O34" s="34" t="n"/>
      <c r="P34" s="34" t="n"/>
    </row>
    <row r="35" outlineLevel="1" ht="15.75" customHeight="1">
      <c r="A35" s="37" t="inlineStr">
        <is>
          <t>GASTOS DE PERSONAL</t>
        </is>
      </c>
      <c r="B35" s="38" t="n">
        <v>329176320</v>
      </c>
      <c r="C35" s="39" t="n">
        <v>253446094</v>
      </c>
      <c r="D35" s="38" t="n">
        <v>655610941</v>
      </c>
      <c r="E35" s="39" t="n">
        <v>564328517</v>
      </c>
      <c r="F35" s="38" t="n">
        <v>715641563</v>
      </c>
      <c r="G35" s="39" t="n">
        <v>606725590</v>
      </c>
      <c r="H35" s="38" t="n">
        <v>322310821</v>
      </c>
      <c r="I35" s="39" t="n">
        <v>245367320</v>
      </c>
      <c r="J35" s="38" t="n">
        <v>823282684</v>
      </c>
      <c r="K35" s="39" t="n">
        <v>687035848</v>
      </c>
      <c r="L35" s="38" t="n">
        <v>1223649718</v>
      </c>
      <c r="M35" s="39" t="n">
        <v>1104263488</v>
      </c>
      <c r="O35" s="34" t="n"/>
      <c r="P35" s="34" t="n"/>
    </row>
    <row r="36" outlineLevel="1" ht="15.75" customHeight="1">
      <c r="A36" s="37" t="inlineStr">
        <is>
          <t>GASTOS GENERALES</t>
        </is>
      </c>
      <c r="B36" s="38" t="n">
        <v>513024000</v>
      </c>
      <c r="C36" s="39" t="n">
        <v>436608392</v>
      </c>
      <c r="D36" s="38" t="n">
        <v>1120274237</v>
      </c>
      <c r="E36" s="39" t="n">
        <v>980989613</v>
      </c>
      <c r="F36" s="38" t="n">
        <v>1011458226</v>
      </c>
      <c r="G36" s="39" t="n">
        <v>849499715</v>
      </c>
      <c r="H36" s="38" t="n">
        <v>661584570</v>
      </c>
      <c r="I36" s="39" t="n">
        <v>359427362</v>
      </c>
      <c r="J36" s="38" t="n">
        <v>1250061516</v>
      </c>
      <c r="K36" s="39" t="n">
        <v>966643977</v>
      </c>
      <c r="L36" s="38" t="n">
        <v>1161524002</v>
      </c>
      <c r="M36" s="39" t="n">
        <v>1008120204</v>
      </c>
      <c r="O36" s="34" t="n"/>
      <c r="P36" s="34" t="n"/>
    </row>
    <row r="37" outlineLevel="1" ht="15.75" customHeight="1">
      <c r="A37" s="37" t="inlineStr">
        <is>
          <t>PRESUPUESTO POR DISTRIBUIR - ADMINIST., CONTROL Y ORGANIZACIÓN INSTITUCIONAL PARA APOYO A LA ADMINIS. DE</t>
        </is>
      </c>
      <c r="B37" s="38" t="n"/>
      <c r="C37" s="39" t="n"/>
      <c r="D37" s="38" t="n">
        <v>271</v>
      </c>
      <c r="E37" s="39" t="n">
        <v>0</v>
      </c>
      <c r="F37" s="38" t="n"/>
      <c r="G37" s="39" t="n"/>
      <c r="H37" s="38" t="n"/>
      <c r="I37" s="39" t="n"/>
      <c r="J37" s="38" t="n"/>
      <c r="K37" s="39" t="n"/>
      <c r="L37" s="38" t="n">
        <v>4281409</v>
      </c>
      <c r="M37" s="39" t="n">
        <v>0</v>
      </c>
      <c r="O37" s="34" t="n"/>
      <c r="P37" s="34" t="n"/>
    </row>
    <row r="38" outlineLevel="1" ht="15.75" customHeight="1">
      <c r="A38" s="37" t="inlineStr">
        <is>
          <t xml:space="preserve">TRANSFERENCIAS </t>
        </is>
      </c>
      <c r="B38" s="38" t="n"/>
      <c r="C38" s="39" t="n"/>
      <c r="D38" s="38" t="n"/>
      <c r="E38" s="39" t="n"/>
      <c r="F38" s="38" t="n">
        <v>65326000</v>
      </c>
      <c r="G38" s="39" t="n">
        <v>61578000</v>
      </c>
      <c r="H38" s="38" t="n">
        <v>4518000</v>
      </c>
      <c r="I38" s="39" t="n">
        <v>4518000</v>
      </c>
      <c r="J38" s="38" t="n"/>
      <c r="K38" s="39" t="n"/>
      <c r="L38" s="38" t="n"/>
      <c r="M38" s="39" t="n"/>
      <c r="O38" s="34" t="n"/>
      <c r="P38" s="34" t="n"/>
    </row>
    <row r="39" ht="15.75" customHeight="1">
      <c r="A39" s="22" t="inlineStr">
        <is>
          <t>MEJORAMIENTO Y MANTENIMIENTO DE INFRAESTRUCTURA PROPIA DEL SECTOR</t>
        </is>
      </c>
      <c r="B39" s="29">
        <f>SUM(B40:B43)</f>
        <v/>
      </c>
      <c r="C39" s="30">
        <f>SUM(C40:C43)</f>
        <v/>
      </c>
      <c r="D39" s="29">
        <f>SUM(D40:D43)</f>
        <v/>
      </c>
      <c r="E39" s="30">
        <f>SUM(E40:E43)</f>
        <v/>
      </c>
      <c r="F39" s="29">
        <f>SUM(F40:F43)</f>
        <v/>
      </c>
      <c r="G39" s="30">
        <f>SUM(G40:G43)</f>
        <v/>
      </c>
      <c r="H39" s="29">
        <f>SUM(H40:H43)</f>
        <v/>
      </c>
      <c r="I39" s="30">
        <f>SUM(I40:I43)</f>
        <v/>
      </c>
      <c r="J39" s="29">
        <f>SUM(J40:J43)</f>
        <v/>
      </c>
      <c r="K39" s="30">
        <f>SUM(K40:K43)</f>
        <v/>
      </c>
      <c r="L39" s="29">
        <f>SUM(L40:L43)</f>
        <v/>
      </c>
      <c r="M39" s="30">
        <f>SUM(M40:M43)</f>
        <v/>
      </c>
      <c r="O39" s="34" t="n"/>
      <c r="P39" s="34" t="n"/>
    </row>
    <row r="40" outlineLevel="1" ht="15.75" customHeight="1">
      <c r="A40" s="37" t="inlineStr">
        <is>
          <t>GASTOS DE PERSONAL</t>
        </is>
      </c>
      <c r="B40" s="38" t="n">
        <v>70000000</v>
      </c>
      <c r="C40" s="39" t="n">
        <v>66192000</v>
      </c>
      <c r="D40" s="38" t="n">
        <v>91028352</v>
      </c>
      <c r="E40" s="39" t="n">
        <v>89243552</v>
      </c>
      <c r="F40" s="38" t="n">
        <v>103914338</v>
      </c>
      <c r="G40" s="39" t="n">
        <v>103891308</v>
      </c>
      <c r="H40" s="38" t="n">
        <v>342649565</v>
      </c>
      <c r="I40" s="39" t="n">
        <v>41465397</v>
      </c>
      <c r="J40" s="38" t="n">
        <v>151744231</v>
      </c>
      <c r="K40" s="39" t="n">
        <v>147360849</v>
      </c>
      <c r="L40" s="38" t="n">
        <v>64315562</v>
      </c>
      <c r="M40" s="39" t="n">
        <v>39315227</v>
      </c>
      <c r="O40" s="34" t="n"/>
      <c r="P40" s="34" t="n"/>
    </row>
    <row r="41" outlineLevel="1" ht="15.75" customHeight="1">
      <c r="A41" s="37" t="inlineStr">
        <is>
          <t>GASTOS GENERALES</t>
        </is>
      </c>
      <c r="B41" s="38" t="n">
        <v>937000000</v>
      </c>
      <c r="C41" s="39" t="n">
        <v>902384780</v>
      </c>
      <c r="D41" s="38" t="n">
        <v>1243544961</v>
      </c>
      <c r="E41" s="39" t="n">
        <v>1219952631</v>
      </c>
      <c r="F41" s="38" t="n">
        <v>956930220</v>
      </c>
      <c r="G41" s="39" t="n">
        <v>956681198</v>
      </c>
      <c r="H41" s="38" t="n">
        <v>1549337270</v>
      </c>
      <c r="I41" s="39" t="n">
        <v>724583864</v>
      </c>
      <c r="J41" s="38" t="n">
        <v>2976229494</v>
      </c>
      <c r="K41" s="39" t="n">
        <v>2927669592</v>
      </c>
      <c r="L41" s="38" t="n">
        <v>1462854012</v>
      </c>
      <c r="M41" s="39" t="n">
        <v>1259810312</v>
      </c>
      <c r="O41" s="34" t="n"/>
      <c r="P41" s="34" t="n"/>
    </row>
    <row r="42" outlineLevel="1" ht="15.75" customHeight="1">
      <c r="A42" s="37" t="inlineStr">
        <is>
          <t>PRESUPUESTO POR DISTRIBUIR - MEJORAMIENTO Y MANTENIMIENTO DE INFRAESTRUCTURA PROPIA DEL SECTOR</t>
        </is>
      </c>
      <c r="B42" s="38" t="n"/>
      <c r="C42" s="39" t="n"/>
      <c r="D42" s="38" t="n"/>
      <c r="E42" s="39" t="n"/>
      <c r="F42" s="38" t="n"/>
      <c r="G42" s="39" t="n"/>
      <c r="H42" s="38" t="n">
        <v>3335873631</v>
      </c>
      <c r="I42" s="39" t="n">
        <v>0</v>
      </c>
      <c r="J42" s="38" t="n"/>
      <c r="K42" s="39" t="n"/>
      <c r="L42" s="38" t="n"/>
      <c r="M42" s="39" t="n"/>
      <c r="O42" s="34" t="n"/>
      <c r="P42" s="34" t="n"/>
    </row>
    <row r="43" outlineLevel="1" ht="15.75" customHeight="1">
      <c r="A43" s="37" t="inlineStr">
        <is>
          <t>VIGENCIAS EXPIRADAS GASTOS DE INVERSIÓN</t>
        </is>
      </c>
      <c r="B43" s="38" t="n"/>
      <c r="C43" s="39" t="n"/>
      <c r="D43" s="38" t="n"/>
      <c r="E43" s="39" t="n"/>
      <c r="F43" s="38" t="n"/>
      <c r="G43" s="39" t="n"/>
      <c r="H43" s="38" t="n">
        <v>13744500</v>
      </c>
      <c r="I43" s="39" t="n">
        <v>13744500</v>
      </c>
      <c r="J43" s="38" t="n"/>
      <c r="K43" s="39" t="n"/>
      <c r="L43" s="38" t="n"/>
      <c r="M43" s="39" t="n"/>
      <c r="O43" s="34" t="n"/>
      <c r="P43" s="34" t="n"/>
    </row>
    <row r="44" ht="15.75" customHeight="1">
      <c r="A44" s="22" t="inlineStr">
        <is>
          <t>PROTECCIÓN Y BIENESTAR SOCIAL DEL RECURSO HUMANO</t>
        </is>
      </c>
      <c r="B44" s="29">
        <f>SUM(B45:B47)</f>
        <v/>
      </c>
      <c r="C44" s="30">
        <f>SUM(C45:C47)</f>
        <v/>
      </c>
      <c r="D44" s="29">
        <f>SUM(D45:D47)</f>
        <v/>
      </c>
      <c r="E44" s="30">
        <f>SUM(E45:E47)</f>
        <v/>
      </c>
      <c r="F44" s="29">
        <f>SUM(F45:F47)</f>
        <v/>
      </c>
      <c r="G44" s="30">
        <f>SUM(G45:G47)</f>
        <v/>
      </c>
      <c r="H44" s="29" t="n"/>
      <c r="I44" s="30" t="n"/>
      <c r="J44" s="29">
        <f>SUM(J45:J47)</f>
        <v/>
      </c>
      <c r="K44" s="30">
        <f>SUM(K45:K47)</f>
        <v/>
      </c>
      <c r="L44" s="29">
        <f>SUM(L45:L47)</f>
        <v/>
      </c>
      <c r="M44" s="30">
        <f>SUM(M45:M47)</f>
        <v/>
      </c>
      <c r="O44" s="34" t="n"/>
      <c r="P44" s="34" t="n"/>
    </row>
    <row r="45" outlineLevel="1" ht="15.75" customHeight="1">
      <c r="A45" s="37" t="inlineStr">
        <is>
          <t>GASTOS DE PERSONAL</t>
        </is>
      </c>
      <c r="B45" s="38" t="n">
        <v>28414675</v>
      </c>
      <c r="C45" s="39" t="n">
        <v>0</v>
      </c>
      <c r="D45" s="38" t="n">
        <v>109755400</v>
      </c>
      <c r="E45" s="39" t="n">
        <v>105570600</v>
      </c>
      <c r="F45" s="38" t="n">
        <v>109167488</v>
      </c>
      <c r="G45" s="39" t="n">
        <v>109098656</v>
      </c>
      <c r="H45" s="38" t="n"/>
      <c r="I45" s="39" t="n"/>
      <c r="J45" s="38" t="n">
        <v>94481420</v>
      </c>
      <c r="K45" s="39" t="n">
        <v>94481420</v>
      </c>
      <c r="L45" s="38" t="n">
        <v>54387684</v>
      </c>
      <c r="M45" s="39" t="n">
        <v>54387684</v>
      </c>
      <c r="O45" s="34" t="n"/>
      <c r="P45" s="34" t="n"/>
    </row>
    <row r="46" outlineLevel="1" ht="15.75" customHeight="1">
      <c r="A46" s="37" t="inlineStr">
        <is>
          <t>GASTOS GENERALES</t>
        </is>
      </c>
      <c r="B46" s="38" t="n">
        <v>256500000</v>
      </c>
      <c r="C46" s="39" t="n">
        <v>91673092</v>
      </c>
      <c r="D46" s="38" t="n">
        <v>336815656</v>
      </c>
      <c r="E46" s="39" t="n">
        <v>298357532</v>
      </c>
      <c r="F46" s="38" t="n">
        <v>228274918</v>
      </c>
      <c r="G46" s="39" t="n">
        <v>227588071</v>
      </c>
      <c r="H46" s="38" t="n"/>
      <c r="I46" s="39" t="n"/>
      <c r="J46" s="38" t="n">
        <v>64737683</v>
      </c>
      <c r="K46" s="39" t="n">
        <v>59532476</v>
      </c>
      <c r="L46" s="38" t="n">
        <v>32231635</v>
      </c>
      <c r="M46" s="39" t="n">
        <v>32201659</v>
      </c>
      <c r="O46" s="34" t="n"/>
      <c r="P46" s="34" t="n"/>
    </row>
    <row r="47" outlineLevel="1" ht="15.75" customHeight="1">
      <c r="A47" s="37" t="inlineStr">
        <is>
          <t>PRESUPUESTO POR DISTRIBUIR - PROTECCIÓN Y BIENESTAR SOCIAL DEL RECURSO HUMANO</t>
        </is>
      </c>
      <c r="B47" s="38" t="n"/>
      <c r="C47" s="39" t="n"/>
      <c r="D47" s="38" t="n">
        <v>29781934</v>
      </c>
      <c r="E47" s="39" t="n">
        <v>0</v>
      </c>
      <c r="F47" s="38" t="n"/>
      <c r="G47" s="39" t="n"/>
      <c r="H47" s="38" t="n"/>
      <c r="I47" s="39" t="n"/>
      <c r="J47" s="38" t="n">
        <v>1</v>
      </c>
      <c r="K47" s="39" t="n">
        <v>0</v>
      </c>
      <c r="L47" s="38" t="n">
        <v>5205207</v>
      </c>
      <c r="M47" s="39" t="n">
        <v>0</v>
      </c>
      <c r="O47" s="34" t="n"/>
      <c r="P47" s="34" t="n"/>
    </row>
    <row r="48" ht="15.75" customHeight="1">
      <c r="A48" s="22" t="inlineStr">
        <is>
          <t>INVESTIGACION APLICADA A ESTUDIOS</t>
        </is>
      </c>
      <c r="B48" s="29">
        <f>SUM(B49:B53)</f>
        <v/>
      </c>
      <c r="C48" s="30">
        <f>SUM(C49:C53)</f>
        <v/>
      </c>
      <c r="D48" s="29">
        <f>SUM(D49:D53)</f>
        <v/>
      </c>
      <c r="E48" s="30">
        <f>SUM(E49:E53)</f>
        <v/>
      </c>
      <c r="F48" s="29">
        <f>SUM(F49:F53)</f>
        <v/>
      </c>
      <c r="G48" s="30">
        <f>SUM(G49:G53)</f>
        <v/>
      </c>
      <c r="H48" s="29">
        <f>SUM(H49:H53)</f>
        <v/>
      </c>
      <c r="I48" s="30">
        <f>SUM(I49:I53)</f>
        <v/>
      </c>
      <c r="J48" s="29">
        <f>SUM(J49:J53)</f>
        <v/>
      </c>
      <c r="K48" s="30">
        <f>SUM(K49:K53)</f>
        <v/>
      </c>
      <c r="L48" s="29">
        <f>SUM(L49:L53)</f>
        <v/>
      </c>
      <c r="M48" s="30">
        <f>SUM(M49:M53)</f>
        <v/>
      </c>
      <c r="O48" s="34" t="n"/>
      <c r="P48" s="34" t="n"/>
    </row>
    <row r="49" outlineLevel="1" ht="15.75" customHeight="1">
      <c r="A49" s="37" t="inlineStr">
        <is>
          <t>GASTOS DE PERSONAL</t>
        </is>
      </c>
      <c r="B49" s="38" t="n">
        <v>511115356</v>
      </c>
      <c r="C49" s="39" t="n">
        <v>401186572</v>
      </c>
      <c r="D49" s="38" t="n">
        <v>756030627</v>
      </c>
      <c r="E49" s="39" t="n">
        <v>527236007</v>
      </c>
      <c r="F49" s="38" t="n">
        <v>584904582</v>
      </c>
      <c r="G49" s="39" t="n">
        <v>402031112</v>
      </c>
      <c r="H49" s="38" t="n">
        <v>843108608</v>
      </c>
      <c r="I49" s="39" t="n">
        <v>621145228</v>
      </c>
      <c r="J49" s="38" t="n">
        <v>538207885</v>
      </c>
      <c r="K49" s="39" t="n">
        <v>365237500</v>
      </c>
      <c r="L49" s="38" t="n">
        <v>840967257</v>
      </c>
      <c r="M49" s="39" t="n">
        <v>654571305</v>
      </c>
      <c r="O49" s="34" t="n"/>
      <c r="P49" s="34" t="n"/>
    </row>
    <row r="50" outlineLevel="1" ht="15.75" customHeight="1">
      <c r="A50" s="37" t="inlineStr">
        <is>
          <t>GASTOS GENERALES</t>
        </is>
      </c>
      <c r="B50" s="38" t="n">
        <v>761307571</v>
      </c>
      <c r="C50" s="39" t="n">
        <v>461719613</v>
      </c>
      <c r="D50" s="38" t="n">
        <v>981205429</v>
      </c>
      <c r="E50" s="39" t="n">
        <v>714040119</v>
      </c>
      <c r="F50" s="38" t="n">
        <v>871806356</v>
      </c>
      <c r="G50" s="39" t="n">
        <v>633773060</v>
      </c>
      <c r="H50" s="38" t="n">
        <v>948832683</v>
      </c>
      <c r="I50" s="39" t="n">
        <v>564878089</v>
      </c>
      <c r="J50" s="38" t="n">
        <v>768103056</v>
      </c>
      <c r="K50" s="39" t="n">
        <v>232715703</v>
      </c>
      <c r="L50" s="38" t="n">
        <v>331988011</v>
      </c>
      <c r="M50" s="39" t="n">
        <v>204118549</v>
      </c>
      <c r="O50" s="34" t="n"/>
      <c r="P50" s="34" t="n"/>
    </row>
    <row r="51" outlineLevel="1" ht="15.75" customHeight="1">
      <c r="A51" s="37" t="inlineStr">
        <is>
          <t xml:space="preserve">TRANSFERENCIAS </t>
        </is>
      </c>
      <c r="B51" s="38" t="n">
        <v>685593647</v>
      </c>
      <c r="C51" s="39" t="n">
        <v>0</v>
      </c>
      <c r="D51" s="38" t="n">
        <v>667530721</v>
      </c>
      <c r="E51" s="39" t="n">
        <v>0</v>
      </c>
      <c r="F51" s="38" t="n">
        <v>1252225748</v>
      </c>
      <c r="G51" s="39" t="n">
        <v>1269558</v>
      </c>
      <c r="H51" s="38" t="n">
        <v>74340699</v>
      </c>
      <c r="I51" s="39" t="n">
        <v>650788</v>
      </c>
      <c r="J51" s="38" t="n">
        <v>39873603</v>
      </c>
      <c r="K51" s="39" t="n">
        <v>0</v>
      </c>
      <c r="L51" s="38" t="n">
        <v>70029624</v>
      </c>
      <c r="M51" s="39" t="n">
        <v>0</v>
      </c>
      <c r="O51" s="34" t="n"/>
      <c r="P51" s="34" t="n"/>
    </row>
    <row r="52" outlineLevel="1" ht="15.75" customHeight="1">
      <c r="A52" s="37" t="inlineStr">
        <is>
          <t>PRESUPUESTO POR DISTRIBUIR  - INVESTIGACION APLICADA A ESTUDIOS</t>
        </is>
      </c>
      <c r="B52" s="38" t="n">
        <v>93796384</v>
      </c>
      <c r="C52" s="39" t="n">
        <v>0</v>
      </c>
      <c r="D52" s="38" t="n">
        <v>550602084</v>
      </c>
      <c r="E52" s="39" t="n">
        <v>0</v>
      </c>
      <c r="F52" s="38" t="n">
        <v>283402148</v>
      </c>
      <c r="G52" s="39" t="n">
        <v>0</v>
      </c>
      <c r="H52" s="38" t="n">
        <v>22800907</v>
      </c>
      <c r="I52" s="39" t="n">
        <v>0</v>
      </c>
      <c r="J52" s="38" t="n">
        <v>35315754</v>
      </c>
      <c r="K52" s="39" t="n">
        <v>0</v>
      </c>
      <c r="L52" s="38" t="n">
        <v>35436203</v>
      </c>
      <c r="M52" s="39" t="n">
        <v>0</v>
      </c>
      <c r="O52" s="34" t="n"/>
      <c r="P52" s="34" t="n"/>
    </row>
    <row r="53" outlineLevel="1" ht="15.75" customHeight="1">
      <c r="A53" s="37" t="inlineStr">
        <is>
          <t>VIGENCIAS EXPIRADAS GASTOS DE INVERSIÓN</t>
        </is>
      </c>
      <c r="B53" s="38" t="n">
        <v>3800174</v>
      </c>
      <c r="C53" s="39" t="n">
        <v>3800173</v>
      </c>
      <c r="D53" s="38" t="n"/>
      <c r="E53" s="39" t="n"/>
      <c r="F53" s="38" t="n"/>
      <c r="G53" s="39" t="n"/>
      <c r="H53" s="38" t="n"/>
      <c r="I53" s="39" t="n"/>
      <c r="J53" s="38" t="n"/>
      <c r="K53" s="39" t="n"/>
      <c r="L53" s="38" t="n"/>
      <c r="M53" s="39" t="n"/>
      <c r="O53" s="34" t="n"/>
      <c r="P53" s="34" t="n"/>
    </row>
    <row r="54" ht="15.75" customHeight="1">
      <c r="A54" s="22" t="inlineStr">
        <is>
          <t>ASIST TÉCNICA DIVULG Y CAPACIT A FUNC DEL ESTADO PARA APOYO A LA ADMINIS DEL ESTADO</t>
        </is>
      </c>
      <c r="B54" s="29">
        <f>SUM(B55:B57)</f>
        <v/>
      </c>
      <c r="C54" s="30">
        <f>SUM(C55:C57)</f>
        <v/>
      </c>
      <c r="D54" s="29">
        <f>SUM(D55:D57)</f>
        <v/>
      </c>
      <c r="E54" s="30">
        <f>SUM(E55:E57)</f>
        <v/>
      </c>
      <c r="F54" s="29" t="n"/>
      <c r="G54" s="30" t="n"/>
      <c r="H54" s="29" t="n"/>
      <c r="I54" s="30" t="n"/>
      <c r="J54" s="29" t="n"/>
      <c r="K54" s="30" t="n"/>
      <c r="L54" s="29" t="n"/>
      <c r="M54" s="30" t="n"/>
      <c r="O54" s="34" t="n"/>
      <c r="P54" s="34" t="n"/>
    </row>
    <row r="55" outlineLevel="1" ht="15.75" customHeight="1">
      <c r="A55" s="25" t="inlineStr">
        <is>
          <t>GASTOS DE PERSONAL</t>
        </is>
      </c>
      <c r="B55" s="26" t="n">
        <v>40180694</v>
      </c>
      <c r="C55" s="27" t="n">
        <v>25080321</v>
      </c>
      <c r="D55" s="26" t="n"/>
      <c r="E55" s="27" t="n"/>
      <c r="F55" s="26" t="n"/>
      <c r="G55" s="27" t="n"/>
      <c r="H55" s="26" t="n"/>
      <c r="I55" s="27" t="n"/>
      <c r="J55" s="26" t="n"/>
      <c r="K55" s="27" t="n"/>
      <c r="L55" s="26" t="n"/>
      <c r="M55" s="27" t="n"/>
      <c r="O55" s="34" t="n"/>
      <c r="P55" s="34" t="n"/>
    </row>
    <row r="56" outlineLevel="1" ht="15.75" customHeight="1">
      <c r="A56" s="25" t="inlineStr">
        <is>
          <t>GASTOS GENERALES</t>
        </is>
      </c>
      <c r="B56" s="26" t="n">
        <v>24106232</v>
      </c>
      <c r="C56" s="27" t="n">
        <v>7481722</v>
      </c>
      <c r="D56" s="26" t="n"/>
      <c r="E56" s="27" t="n"/>
      <c r="F56" s="26" t="n"/>
      <c r="G56" s="27" t="n"/>
      <c r="H56" s="26" t="n"/>
      <c r="I56" s="27" t="n"/>
      <c r="J56" s="26" t="n"/>
      <c r="K56" s="27" t="n"/>
      <c r="L56" s="26" t="n"/>
      <c r="M56" s="27" t="n"/>
      <c r="O56" s="34" t="n"/>
      <c r="P56" s="34" t="n"/>
    </row>
    <row r="57" outlineLevel="1" ht="15.75" customHeight="1">
      <c r="A57" s="25" t="inlineStr">
        <is>
          <t>PRESUPUESTO POR DISTRIBUIR - ASIST. TÉCNICA, DIVULG. Y CAPACIT. A FUNCIÓN. DEL ESTADO PARA APOYO A LA A</t>
        </is>
      </c>
      <c r="B57" s="26" t="n">
        <v>90880296</v>
      </c>
      <c r="C57" s="27" t="n">
        <v>0</v>
      </c>
      <c r="D57" s="26" t="n">
        <v>417101</v>
      </c>
      <c r="E57" s="27" t="n">
        <v>0</v>
      </c>
      <c r="F57" s="26" t="n"/>
      <c r="G57" s="27" t="n"/>
      <c r="H57" s="26" t="n"/>
      <c r="I57" s="27" t="n"/>
      <c r="J57" s="26" t="n"/>
      <c r="K57" s="27" t="n"/>
      <c r="L57" s="26" t="n"/>
      <c r="M57" s="27" t="n"/>
      <c r="O57" s="34" t="n"/>
      <c r="P57" s="34" t="n"/>
    </row>
    <row r="58" ht="15.75" customHeight="1">
      <c r="A58" s="22" t="inlineStr">
        <is>
          <t>CONSTRUCCIÓN DE INFRAESTRUCTURA PROPIA DEL SECTOR</t>
        </is>
      </c>
      <c r="B58" s="29" t="n"/>
      <c r="C58" s="30" t="n"/>
      <c r="D58" s="29">
        <f>SUM(D59:D61)</f>
        <v/>
      </c>
      <c r="E58" s="30">
        <f>SUM(E59:E61)</f>
        <v/>
      </c>
      <c r="F58" s="29">
        <f>SUM(F59:F61)</f>
        <v/>
      </c>
      <c r="G58" s="30">
        <f>SUM(G59:G61)</f>
        <v/>
      </c>
      <c r="H58" s="29">
        <f>SUM(H59:H61)</f>
        <v/>
      </c>
      <c r="I58" s="30">
        <f>SUM(I59:I61)</f>
        <v/>
      </c>
      <c r="J58" s="29">
        <f>SUM(J59:J61)</f>
        <v/>
      </c>
      <c r="K58" s="30">
        <f>SUM(K59:K61)</f>
        <v/>
      </c>
      <c r="L58" s="29">
        <f>SUM(L59:L61)</f>
        <v/>
      </c>
      <c r="M58" s="30">
        <f>SUM(M59:M61)</f>
        <v/>
      </c>
      <c r="O58" s="34" t="n"/>
      <c r="P58" s="34" t="n"/>
    </row>
    <row r="59" outlineLevel="1" ht="15.75" customHeight="1">
      <c r="A59" s="37" t="inlineStr">
        <is>
          <t>GASTOS GENERALES</t>
        </is>
      </c>
      <c r="B59" s="29" t="n"/>
      <c r="C59" s="30" t="n"/>
      <c r="D59" s="29" t="n">
        <v>674000000</v>
      </c>
      <c r="E59" s="30" t="n">
        <v>657532572</v>
      </c>
      <c r="F59" s="29" t="n">
        <v>3821378960</v>
      </c>
      <c r="G59" s="30" t="n">
        <v>3320932407</v>
      </c>
      <c r="H59" s="29" t="n">
        <v>446513844</v>
      </c>
      <c r="I59" s="30" t="n">
        <v>445196913</v>
      </c>
      <c r="J59" s="29" t="n">
        <v>876087348</v>
      </c>
      <c r="K59" s="30" t="n">
        <v>24567359</v>
      </c>
      <c r="L59" s="29" t="n">
        <v>4739624909</v>
      </c>
      <c r="M59" s="30" t="n">
        <v>3123925675</v>
      </c>
      <c r="N59" s="40" t="n"/>
      <c r="O59" s="40" t="n"/>
      <c r="P59" s="34" t="n"/>
    </row>
    <row r="60" outlineLevel="1" ht="15.75" customHeight="1">
      <c r="A60" s="37" t="inlineStr">
        <is>
          <t>GASTOS DE PERSONAL</t>
        </is>
      </c>
      <c r="B60" s="29" t="n"/>
      <c r="C60" s="30" t="n"/>
      <c r="D60" s="29" t="n">
        <v>388908400</v>
      </c>
      <c r="E60" s="30" t="n">
        <v>0</v>
      </c>
      <c r="F60" s="29" t="n">
        <v>181016000</v>
      </c>
      <c r="G60" s="30" t="n">
        <v>124703828</v>
      </c>
      <c r="H60" s="29" t="n">
        <v>110244880</v>
      </c>
      <c r="I60" s="30" t="n">
        <v>110144479</v>
      </c>
      <c r="J60" s="29" t="n">
        <v>351912652</v>
      </c>
      <c r="K60" s="30" t="n">
        <v>242175040</v>
      </c>
      <c r="L60" s="29" t="n">
        <v>419865798</v>
      </c>
      <c r="M60" s="30" t="n">
        <v>372541106</v>
      </c>
      <c r="N60" s="40" t="n"/>
      <c r="O60" s="40" t="n"/>
      <c r="P60" s="34" t="n"/>
    </row>
    <row r="61" outlineLevel="1" ht="15.75" customHeight="1">
      <c r="A61" s="37" t="inlineStr">
        <is>
          <t>PRESUPUESTO POR DISTRIBUIR - CONSTRUCCIÓN DE INFRAESTRUCTURA PROPIA DEL SECTOR</t>
        </is>
      </c>
      <c r="B61" s="29" t="n"/>
      <c r="C61" s="30" t="n"/>
      <c r="D61" s="29" t="n"/>
      <c r="E61" s="30" t="n"/>
      <c r="F61" s="29" t="n"/>
      <c r="G61" s="30" t="n"/>
      <c r="H61" s="29" t="n">
        <v>1059601978</v>
      </c>
      <c r="I61" s="30" t="n">
        <v>0</v>
      </c>
      <c r="J61" s="29" t="n">
        <v>86643601</v>
      </c>
      <c r="K61" s="30" t="n">
        <v>0</v>
      </c>
      <c r="L61" s="29" t="n"/>
      <c r="M61" s="30" t="n"/>
      <c r="N61" s="40" t="n"/>
      <c r="O61" s="40" t="n"/>
      <c r="P61" s="34" t="n"/>
    </row>
    <row r="62" ht="15.75" customHeight="1">
      <c r="A62" s="22" t="inlineStr">
        <is>
          <t>ESTUDIOS DE PRE INVERSIÓN</t>
        </is>
      </c>
      <c r="B62" s="29" t="n"/>
      <c r="C62" s="30" t="n"/>
      <c r="D62" s="29">
        <f>SUM(D63:D64)</f>
        <v/>
      </c>
      <c r="E62" s="30">
        <f>SUM(E63:E64)</f>
        <v/>
      </c>
      <c r="F62" s="29" t="n"/>
      <c r="G62" s="30" t="n"/>
      <c r="H62" s="29" t="n"/>
      <c r="I62" s="30" t="n"/>
      <c r="J62" s="29">
        <f>SUM(J63:J64)</f>
        <v/>
      </c>
      <c r="K62" s="30">
        <f>SUM(K63:K64)</f>
        <v/>
      </c>
      <c r="L62" s="29">
        <f>SUM(L63:L64)</f>
        <v/>
      </c>
      <c r="M62" s="30">
        <f>SUM(M63:M64)</f>
        <v/>
      </c>
      <c r="O62" s="34" t="n"/>
      <c r="P62" s="34" t="n"/>
    </row>
    <row r="63" outlineLevel="1" ht="15.75" customHeight="1">
      <c r="A63" s="31" t="inlineStr">
        <is>
          <t>GASTOS DE PERSONAL</t>
        </is>
      </c>
      <c r="B63" s="29" t="n"/>
      <c r="C63" s="30" t="n"/>
      <c r="D63" s="29" t="n">
        <v>447615769</v>
      </c>
      <c r="E63" s="30" t="n">
        <v>444887289</v>
      </c>
      <c r="F63" s="29" t="n"/>
      <c r="G63" s="30" t="n"/>
      <c r="H63" s="29" t="n"/>
      <c r="I63" s="30" t="n"/>
      <c r="J63" s="29" t="n">
        <v>457989340</v>
      </c>
      <c r="K63" s="30" t="n">
        <v>445218064</v>
      </c>
      <c r="L63" s="29" t="n">
        <v>296824671</v>
      </c>
      <c r="M63" s="30" t="n">
        <v>267225812</v>
      </c>
      <c r="O63" s="34" t="n"/>
      <c r="P63" s="34" t="n"/>
    </row>
    <row r="64" outlineLevel="1" ht="15.75" customHeight="1">
      <c r="A64" s="31" t="inlineStr">
        <is>
          <t>GASTOS GENERALES</t>
        </is>
      </c>
      <c r="B64" s="29" t="n"/>
      <c r="C64" s="30" t="n"/>
      <c r="D64" s="29" t="n">
        <v>64264466</v>
      </c>
      <c r="E64" s="30" t="n">
        <v>41151407</v>
      </c>
      <c r="F64" s="29" t="n"/>
      <c r="G64" s="30" t="n"/>
      <c r="H64" s="29" t="n"/>
      <c r="I64" s="30" t="n"/>
      <c r="J64" s="29" t="n">
        <v>242010660</v>
      </c>
      <c r="K64" s="30" t="n">
        <v>19398484</v>
      </c>
      <c r="L64" s="29" t="n">
        <v>238558781</v>
      </c>
      <c r="M64" s="30" t="n">
        <v>132836929</v>
      </c>
      <c r="O64" s="34" t="n"/>
      <c r="P64" s="34" t="n"/>
    </row>
    <row r="65" ht="15.75" customHeight="1">
      <c r="A65" s="15" t="inlineStr">
        <is>
          <t>- FONDOS ESPECIALES</t>
        </is>
      </c>
      <c r="B65" s="41">
        <f>+B66+B77+B84</f>
        <v/>
      </c>
      <c r="C65" s="42">
        <f>+C66+C77+C84</f>
        <v/>
      </c>
      <c r="D65" s="41">
        <f>+D66+D77+D84</f>
        <v/>
      </c>
      <c r="E65" s="42">
        <f>+E66+E77+E84</f>
        <v/>
      </c>
      <c r="F65" s="41">
        <f>+F66+F77+F84</f>
        <v/>
      </c>
      <c r="G65" s="42">
        <f>+G66+G77+G84</f>
        <v/>
      </c>
      <c r="H65" s="41">
        <f>+H66+H77+H84</f>
        <v/>
      </c>
      <c r="I65" s="42">
        <f>+I66+I77+I84</f>
        <v/>
      </c>
      <c r="J65" s="41">
        <f>+J66+J77+J84</f>
        <v/>
      </c>
      <c r="K65" s="42">
        <f>+K66+K77+K84</f>
        <v/>
      </c>
      <c r="L65" s="41">
        <f>+L66+L77+L84</f>
        <v/>
      </c>
      <c r="M65" s="42">
        <f>+M66+M77+M84</f>
        <v/>
      </c>
      <c r="O65" s="34" t="n"/>
      <c r="P65" s="34" t="n"/>
    </row>
    <row r="66" ht="15.75" customHeight="1">
      <c r="A66" s="43" t="inlineStr">
        <is>
          <t>GASTOS DESTINACION REGULADA</t>
        </is>
      </c>
      <c r="B66" s="23">
        <f>SUM(B67:B76)</f>
        <v/>
      </c>
      <c r="C66" s="24">
        <f>SUM(C67:C76)</f>
        <v/>
      </c>
      <c r="D66" s="23">
        <f>SUM(D67:D76)</f>
        <v/>
      </c>
      <c r="E66" s="24">
        <f>SUM(E67:E76)</f>
        <v/>
      </c>
      <c r="F66" s="23">
        <f>SUM(F67:F76)</f>
        <v/>
      </c>
      <c r="G66" s="24">
        <f>SUM(G67:G76)</f>
        <v/>
      </c>
      <c r="H66" s="23">
        <f>SUM(H67:H76)</f>
        <v/>
      </c>
      <c r="I66" s="24">
        <f>SUM(I67:I76)</f>
        <v/>
      </c>
      <c r="J66" s="23">
        <f>SUM(J67:J76)</f>
        <v/>
      </c>
      <c r="K66" s="24">
        <f>SUM(K67:K76)</f>
        <v/>
      </c>
      <c r="L66" s="23">
        <f>SUM(L67:L76)</f>
        <v/>
      </c>
      <c r="M66" s="24">
        <f>SUM(M67:M76)</f>
        <v/>
      </c>
      <c r="O66" s="28" t="n"/>
      <c r="P66" s="28" t="n"/>
    </row>
    <row r="67" outlineLevel="1" ht="15.75" customHeight="1">
      <c r="A67" s="37" t="inlineStr">
        <is>
          <t>SERVICIOS PERSONALES INDIRECTOS - REGULADA</t>
        </is>
      </c>
      <c r="B67" s="38" t="n">
        <v>1014046346</v>
      </c>
      <c r="C67" s="39" t="n">
        <v>929391497</v>
      </c>
      <c r="D67" s="38" t="n">
        <v>1258303970</v>
      </c>
      <c r="E67" s="39" t="n">
        <v>1001701881</v>
      </c>
      <c r="F67" s="38" t="n">
        <v>1709139118</v>
      </c>
      <c r="G67" s="39" t="n">
        <v>1000318035</v>
      </c>
      <c r="H67" s="38" t="n">
        <v>1631604621</v>
      </c>
      <c r="I67" s="39" t="n">
        <v>1339601282</v>
      </c>
      <c r="J67" s="38" t="n">
        <v>1679320884</v>
      </c>
      <c r="K67" s="39" t="n">
        <v>1035274710</v>
      </c>
      <c r="L67" s="38" t="n">
        <v>1212950738</v>
      </c>
      <c r="M67" s="39" t="n">
        <v>843551558</v>
      </c>
      <c r="O67" s="28" t="n"/>
      <c r="P67" s="28" t="n"/>
    </row>
    <row r="68" outlineLevel="1" ht="15.75" customHeight="1">
      <c r="A68" s="37" t="inlineStr">
        <is>
          <t>ADQUISICIÓN DE BIENES - REGULADA</t>
        </is>
      </c>
      <c r="B68" s="38" t="n">
        <v>574096076</v>
      </c>
      <c r="C68" s="39" t="n">
        <v>480014722</v>
      </c>
      <c r="D68" s="38" t="n">
        <v>850118929</v>
      </c>
      <c r="E68" s="39" t="n">
        <v>568313081</v>
      </c>
      <c r="F68" s="38" t="n">
        <v>1130130551</v>
      </c>
      <c r="G68" s="39" t="n">
        <v>356061553</v>
      </c>
      <c r="H68" s="38" t="n">
        <v>1114671019</v>
      </c>
      <c r="I68" s="39" t="n">
        <v>749555572</v>
      </c>
      <c r="J68" s="38" t="n">
        <v>672175615</v>
      </c>
      <c r="K68" s="39" t="n">
        <v>299100733</v>
      </c>
      <c r="L68" s="38" t="n">
        <v>704572332</v>
      </c>
      <c r="M68" s="39" t="n">
        <v>500870925</v>
      </c>
      <c r="O68" s="28" t="n"/>
      <c r="P68" s="28" t="n"/>
    </row>
    <row r="69" outlineLevel="1" ht="15.75" customHeight="1">
      <c r="A69" s="37" t="inlineStr">
        <is>
          <t>ADQUISICIÓN DE SERVICIOS - REGULADA</t>
        </is>
      </c>
      <c r="B69" s="38" t="n">
        <v>1249771338</v>
      </c>
      <c r="C69" s="39" t="n">
        <v>1046599772</v>
      </c>
      <c r="D69" s="38" t="n">
        <v>1534824874</v>
      </c>
      <c r="E69" s="39" t="n">
        <v>752727229</v>
      </c>
      <c r="F69" s="38" t="n">
        <v>1670070697</v>
      </c>
      <c r="G69" s="39" t="n">
        <v>960995950</v>
      </c>
      <c r="H69" s="38" t="n">
        <v>1780804663</v>
      </c>
      <c r="I69" s="39" t="n">
        <v>1200942732</v>
      </c>
      <c r="J69" s="38" t="n">
        <v>810666268</v>
      </c>
      <c r="K69" s="39" t="n">
        <v>359343189</v>
      </c>
      <c r="L69" s="38" t="n">
        <v>778390321</v>
      </c>
      <c r="M69" s="39" t="n">
        <v>526098246</v>
      </c>
      <c r="O69" s="28" t="n"/>
      <c r="P69" s="28" t="n"/>
    </row>
    <row r="70" outlineLevel="1" ht="15.75" customHeight="1">
      <c r="A70" s="37" t="inlineStr">
        <is>
          <t>IMPUESTOS  CONTRIBUCIONES  Y MULTAS - REGULADA</t>
        </is>
      </c>
      <c r="B70" s="38" t="n">
        <v>3980940</v>
      </c>
      <c r="C70" s="39" t="n">
        <v>1354103</v>
      </c>
      <c r="D70" s="38" t="n">
        <v>11619808</v>
      </c>
      <c r="E70" s="39" t="n">
        <v>7406572</v>
      </c>
      <c r="F70" s="38" t="n">
        <v>8500000</v>
      </c>
      <c r="G70" s="39" t="n">
        <v>0</v>
      </c>
      <c r="H70" s="38" t="n">
        <v>2000000</v>
      </c>
      <c r="I70" s="39" t="n">
        <v>0</v>
      </c>
      <c r="J70" s="38" t="n"/>
      <c r="K70" s="39" t="n"/>
      <c r="L70" s="38" t="n"/>
      <c r="M70" s="39" t="n"/>
      <c r="O70" s="28" t="n"/>
      <c r="P70" s="28" t="n"/>
    </row>
    <row r="71" outlineLevel="1" ht="15.75" customHeight="1">
      <c r="A71" s="37" t="inlineStr">
        <is>
          <t>BIENESTAR UNIVERSITARIO - REGULADA</t>
        </is>
      </c>
      <c r="B71" s="38" t="n">
        <v>14000000</v>
      </c>
      <c r="C71" s="39" t="n">
        <v>13844257</v>
      </c>
      <c r="D71" s="38" t="n">
        <v>277607375</v>
      </c>
      <c r="E71" s="39" t="n">
        <v>164766953</v>
      </c>
      <c r="F71" s="38" t="n">
        <v>252757190</v>
      </c>
      <c r="G71" s="39" t="n">
        <v>174818901</v>
      </c>
      <c r="H71" s="38" t="n">
        <v>245972071</v>
      </c>
      <c r="I71" s="39" t="n">
        <v>211566227</v>
      </c>
      <c r="J71" s="38" t="n">
        <v>226351444</v>
      </c>
      <c r="K71" s="39" t="n">
        <v>80595691</v>
      </c>
      <c r="L71" s="38" t="n">
        <v>279572603</v>
      </c>
      <c r="M71" s="39" t="n">
        <v>147274304</v>
      </c>
      <c r="O71" s="28" t="n"/>
      <c r="P71" s="28" t="n"/>
    </row>
    <row r="72" outlineLevel="1" ht="15.75" customHeight="1">
      <c r="A72" s="37" t="inlineStr">
        <is>
          <t>TRANSFERENCIAS OPERACIONES INTERNAS SIN CONTRAPRESTACIÓN - REGULADA</t>
        </is>
      </c>
      <c r="B72" s="38" t="n">
        <v>55497970</v>
      </c>
      <c r="C72" s="39" t="n">
        <v>35264471</v>
      </c>
      <c r="D72" s="38" t="n">
        <v>56864871</v>
      </c>
      <c r="E72" s="39" t="n">
        <v>35438255</v>
      </c>
      <c r="F72" s="38" t="n">
        <v>71000000</v>
      </c>
      <c r="G72" s="39" t="n">
        <v>48350142</v>
      </c>
      <c r="H72" s="38" t="n">
        <v>119710605</v>
      </c>
      <c r="I72" s="39" t="n">
        <v>102960605</v>
      </c>
      <c r="J72" s="38" t="n">
        <v>71809946</v>
      </c>
      <c r="K72" s="39" t="n">
        <v>49092214</v>
      </c>
      <c r="L72" s="38" t="n">
        <v>27581220</v>
      </c>
      <c r="M72" s="39" t="n">
        <v>13199652</v>
      </c>
      <c r="O72" s="28" t="n"/>
      <c r="P72" s="28" t="n"/>
    </row>
    <row r="73" outlineLevel="1" ht="15.75" customHeight="1">
      <c r="A73" s="37" t="inlineStr">
        <is>
          <t>PRESUPUESTO POR DISTRIBUIR - REGULADA</t>
        </is>
      </c>
      <c r="B73" s="38" t="n">
        <v>221515634</v>
      </c>
      <c r="C73" s="39" t="n">
        <v>0</v>
      </c>
      <c r="D73" s="38" t="n">
        <v>73681356</v>
      </c>
      <c r="E73" s="39" t="n">
        <v>0</v>
      </c>
      <c r="F73" s="38" t="n">
        <v>722299527</v>
      </c>
      <c r="G73" s="39" t="n">
        <v>0</v>
      </c>
      <c r="H73" s="38" t="n">
        <v>183382813</v>
      </c>
      <c r="I73" s="39" t="n">
        <v>0</v>
      </c>
      <c r="J73" s="38" t="n">
        <v>11000000</v>
      </c>
      <c r="K73" s="39" t="n">
        <v>0</v>
      </c>
      <c r="L73" s="38" t="n">
        <v>25624551</v>
      </c>
      <c r="M73" s="39" t="n">
        <v>0</v>
      </c>
      <c r="O73" s="28" t="n"/>
      <c r="P73" s="28" t="n"/>
    </row>
    <row r="74" outlineLevel="1" ht="15.75" customHeight="1">
      <c r="A74" s="37" t="inlineStr">
        <is>
          <t>APORTES SALUD - REGULADA</t>
        </is>
      </c>
      <c r="B74" s="38" t="n"/>
      <c r="C74" s="39" t="n"/>
      <c r="D74" s="38" t="n">
        <v>2000000</v>
      </c>
      <c r="E74" s="39" t="n">
        <v>0</v>
      </c>
      <c r="F74" s="38" t="n">
        <v>4000000</v>
      </c>
      <c r="G74" s="39" t="n">
        <v>0</v>
      </c>
      <c r="H74" s="38" t="n"/>
      <c r="I74" s="39" t="n"/>
      <c r="J74" s="38" t="n"/>
      <c r="K74" s="39" t="n"/>
      <c r="L74" s="38" t="n">
        <v>1000000</v>
      </c>
      <c r="M74" s="39" t="n">
        <v>0</v>
      </c>
      <c r="O74" s="28" t="n"/>
      <c r="P74" s="28" t="n"/>
    </row>
    <row r="75" outlineLevel="1" ht="15.75" customHeight="1">
      <c r="A75" s="37" t="inlineStr">
        <is>
          <t>OTRAS TRANSFERENCIAS - REGULADA</t>
        </is>
      </c>
      <c r="B75" s="38" t="n"/>
      <c r="C75" s="39" t="n"/>
      <c r="D75" s="38" t="n">
        <v>28112000</v>
      </c>
      <c r="E75" s="39" t="n">
        <v>28112000</v>
      </c>
      <c r="F75" s="38" t="n"/>
      <c r="G75" s="39" t="n"/>
      <c r="H75" s="38" t="n"/>
      <c r="I75" s="39" t="n"/>
      <c r="J75" s="38" t="n"/>
      <c r="K75" s="39" t="n"/>
      <c r="L75" s="38" t="n"/>
      <c r="M75" s="39" t="n"/>
      <c r="O75" s="28" t="n"/>
      <c r="P75" s="28" t="n"/>
    </row>
    <row r="76" outlineLevel="1" ht="15.75" customHeight="1">
      <c r="A76" s="37" t="inlineStr">
        <is>
          <t>VIGENCIAS EXPIRADAS - REGULADA</t>
        </is>
      </c>
      <c r="B76" s="38" t="n"/>
      <c r="C76" s="39" t="n"/>
      <c r="D76" s="38" t="n"/>
      <c r="E76" s="39" t="n"/>
      <c r="F76" s="38" t="n"/>
      <c r="G76" s="39" t="n"/>
      <c r="H76" s="38" t="n"/>
      <c r="I76" s="39" t="n"/>
      <c r="J76" s="38" t="n">
        <v>235438</v>
      </c>
      <c r="K76" s="39" t="n">
        <v>235438</v>
      </c>
      <c r="L76" s="38" t="n"/>
      <c r="M76" s="39" t="n"/>
      <c r="O76" s="28" t="n"/>
      <c r="P76" s="28" t="n"/>
    </row>
    <row r="77" ht="15.75" customHeight="1">
      <c r="A77" s="22" t="inlineStr">
        <is>
          <t>GASTOS DE DESTINACIÓN ESPECIFICA</t>
        </is>
      </c>
      <c r="B77" s="29">
        <f>SUM(B78:B83)</f>
        <v/>
      </c>
      <c r="C77" s="30">
        <f>SUM(C78:C83)</f>
        <v/>
      </c>
      <c r="D77" s="29">
        <f>SUM(D78:D83)</f>
        <v/>
      </c>
      <c r="E77" s="30">
        <f>SUM(E78:E83)</f>
        <v/>
      </c>
      <c r="F77" s="29">
        <f>SUM(F78:F83)</f>
        <v/>
      </c>
      <c r="G77" s="30">
        <f>SUM(G78:G83)</f>
        <v/>
      </c>
      <c r="H77" s="29">
        <f>SUM(H78:H83)</f>
        <v/>
      </c>
      <c r="I77" s="30">
        <f>SUM(I78:I83)</f>
        <v/>
      </c>
      <c r="J77" s="29">
        <f>SUM(J78:J83)</f>
        <v/>
      </c>
      <c r="K77" s="30">
        <f>SUM(K78:K83)</f>
        <v/>
      </c>
      <c r="L77" s="29">
        <f>SUM(L78:L83)</f>
        <v/>
      </c>
      <c r="M77" s="30">
        <f>SUM(M78:M83)</f>
        <v/>
      </c>
      <c r="O77" s="28" t="n"/>
      <c r="P77" s="28" t="n"/>
    </row>
    <row r="78" outlineLevel="1" ht="15.75" customHeight="1">
      <c r="A78" s="37" t="inlineStr">
        <is>
          <t>SERVICIOS PERSONALES INDIRECTOS - ESPECIFICA</t>
        </is>
      </c>
      <c r="B78" s="38" t="n">
        <v>1401729761</v>
      </c>
      <c r="C78" s="39" t="n">
        <v>1083197511</v>
      </c>
      <c r="D78" s="38" t="n">
        <v>2353422368</v>
      </c>
      <c r="E78" s="39" t="n">
        <v>1983173587</v>
      </c>
      <c r="F78" s="38" t="n">
        <v>1854066004</v>
      </c>
      <c r="G78" s="39" t="n">
        <v>1590892938</v>
      </c>
      <c r="H78" s="38" t="n">
        <v>2098976950</v>
      </c>
      <c r="I78" s="39" t="n">
        <v>1874828484</v>
      </c>
      <c r="J78" s="38" t="n">
        <v>572425921</v>
      </c>
      <c r="K78" s="39" t="n">
        <v>389884579</v>
      </c>
      <c r="L78" s="38" t="n">
        <v>2196979162</v>
      </c>
      <c r="M78" s="39" t="n">
        <v>2023049319</v>
      </c>
      <c r="O78" s="28" t="n"/>
      <c r="P78" s="28" t="n"/>
    </row>
    <row r="79" outlineLevel="1" ht="15.75" customHeight="1">
      <c r="A79" s="37" t="inlineStr">
        <is>
          <t>ADQUISICIÓN DE BIENES - ESPECIFICA</t>
        </is>
      </c>
      <c r="B79" s="38" t="n">
        <v>430646330</v>
      </c>
      <c r="C79" s="39" t="n">
        <v>380354709</v>
      </c>
      <c r="D79" s="38" t="n">
        <v>128119984</v>
      </c>
      <c r="E79" s="39" t="n">
        <v>90836050</v>
      </c>
      <c r="F79" s="38" t="n">
        <v>167729757</v>
      </c>
      <c r="G79" s="39" t="n">
        <v>134090034</v>
      </c>
      <c r="H79" s="38" t="n">
        <v>157746048</v>
      </c>
      <c r="I79" s="39" t="n">
        <v>109314046</v>
      </c>
      <c r="J79" s="38" t="n">
        <v>170535426</v>
      </c>
      <c r="K79" s="39" t="n">
        <v>54404441</v>
      </c>
      <c r="L79" s="38" t="n">
        <v>185109326</v>
      </c>
      <c r="M79" s="39" t="n">
        <v>108144568</v>
      </c>
      <c r="O79" s="28" t="n"/>
      <c r="P79" s="28" t="n"/>
    </row>
    <row r="80" outlineLevel="1" ht="15.75" customHeight="1">
      <c r="A80" s="37" t="inlineStr">
        <is>
          <t>ADQUISICIÓN DE SERVICIOS - ESPECIFICA</t>
        </is>
      </c>
      <c r="B80" s="38" t="n">
        <v>538430158</v>
      </c>
      <c r="C80" s="39" t="n">
        <v>358209455</v>
      </c>
      <c r="D80" s="38" t="n">
        <v>522452880</v>
      </c>
      <c r="E80" s="39" t="n">
        <v>307949331</v>
      </c>
      <c r="F80" s="38" t="n">
        <v>916014807</v>
      </c>
      <c r="G80" s="39" t="n">
        <v>628748661</v>
      </c>
      <c r="H80" s="38" t="n">
        <v>816979645</v>
      </c>
      <c r="I80" s="39" t="n">
        <v>610429752</v>
      </c>
      <c r="J80" s="38" t="n">
        <v>287499952</v>
      </c>
      <c r="K80" s="39" t="n">
        <v>65771390</v>
      </c>
      <c r="L80" s="38" t="n">
        <v>286861340</v>
      </c>
      <c r="M80" s="39" t="n">
        <v>176797979</v>
      </c>
      <c r="O80" s="28" t="n"/>
      <c r="P80" s="28" t="n"/>
    </row>
    <row r="81" outlineLevel="1" ht="15.75" customHeight="1">
      <c r="A81" s="37" t="inlineStr">
        <is>
          <t>IMPUESTOS, CONTRIBUCIONES Y MULTAS - ESPECIFICA</t>
        </is>
      </c>
      <c r="B81" s="38" t="n">
        <v>2608500</v>
      </c>
      <c r="C81" s="39" t="n">
        <v>0</v>
      </c>
      <c r="D81" s="38" t="n">
        <v>4106500</v>
      </c>
      <c r="E81" s="39" t="n">
        <v>0</v>
      </c>
      <c r="F81" s="38" t="n"/>
      <c r="G81" s="39" t="n"/>
      <c r="H81" s="38" t="n">
        <v>3313</v>
      </c>
      <c r="I81" s="39" t="n">
        <v>0</v>
      </c>
      <c r="J81" s="38" t="n">
        <v>3313</v>
      </c>
      <c r="K81" s="39" t="n">
        <v>0</v>
      </c>
      <c r="L81" s="38" t="n">
        <v>3313</v>
      </c>
      <c r="M81" s="39" t="n">
        <v>0</v>
      </c>
      <c r="O81" s="28" t="n"/>
      <c r="P81" s="28" t="n"/>
    </row>
    <row r="82" outlineLevel="1" ht="15.75" customHeight="1">
      <c r="A82" s="37" t="inlineStr">
        <is>
          <t>TRANSFERENCIAS OPERACIONES INTERNAS SIN CONTRAPRESTACIÓN - ESPECIFICA</t>
        </is>
      </c>
      <c r="B82" s="38" t="n">
        <v>476719402</v>
      </c>
      <c r="C82" s="39" t="n">
        <v>219030896</v>
      </c>
      <c r="D82" s="38" t="n">
        <v>915666223</v>
      </c>
      <c r="E82" s="39" t="n">
        <v>246858612</v>
      </c>
      <c r="F82" s="38" t="n">
        <v>1305494124</v>
      </c>
      <c r="G82" s="39" t="n">
        <v>709479437</v>
      </c>
      <c r="H82" s="38" t="n">
        <v>645051513</v>
      </c>
      <c r="I82" s="39" t="n">
        <v>397777519</v>
      </c>
      <c r="J82" s="38" t="n">
        <v>897267398</v>
      </c>
      <c r="K82" s="39" t="n">
        <v>517360441</v>
      </c>
      <c r="L82" s="38" t="n">
        <v>799737141</v>
      </c>
      <c r="M82" s="39" t="n">
        <v>327018274</v>
      </c>
      <c r="O82" s="28" t="n"/>
      <c r="P82" s="28" t="n"/>
    </row>
    <row r="83" outlineLevel="1" ht="15.75" customHeight="1">
      <c r="A83" s="25" t="inlineStr">
        <is>
          <t>PRESPUESTO POR DISTRIBUIR - GASTOS DE DESTINACIÓN ESPECÍFICA</t>
        </is>
      </c>
      <c r="B83" s="32" t="n">
        <v>635151538</v>
      </c>
      <c r="C83" s="33" t="n">
        <v>0</v>
      </c>
      <c r="D83" s="32" t="n">
        <v>620451899</v>
      </c>
      <c r="E83" s="33" t="n">
        <v>0</v>
      </c>
      <c r="F83" s="32" t="n">
        <v>254388288</v>
      </c>
      <c r="G83" s="33" t="n">
        <v>0</v>
      </c>
      <c r="H83" s="32" t="n">
        <v>1251082944</v>
      </c>
      <c r="I83" s="33" t="n">
        <v>0</v>
      </c>
      <c r="J83" s="32" t="n">
        <v>1300015567</v>
      </c>
      <c r="K83" s="33" t="n">
        <v>0</v>
      </c>
      <c r="L83" s="32" t="n">
        <v>938548534</v>
      </c>
      <c r="M83" s="33" t="n">
        <v>0</v>
      </c>
      <c r="O83" s="28" t="n"/>
      <c r="P83" s="28" t="n"/>
    </row>
    <row r="84" ht="15.75" customHeight="1">
      <c r="A84" s="22" t="inlineStr">
        <is>
          <t>GASTOS DE DESTINACION ESPECIFICA  UGI FONDO</t>
        </is>
      </c>
      <c r="B84" s="29">
        <f>SUM(B85:B89)</f>
        <v/>
      </c>
      <c r="C84" s="30">
        <f>SUM(C85:C89)</f>
        <v/>
      </c>
      <c r="D84" s="29">
        <f>SUM(D85:D89)</f>
        <v/>
      </c>
      <c r="E84" s="30">
        <f>SUM(E85:E89)</f>
        <v/>
      </c>
      <c r="F84" s="29">
        <f>SUM(F85:F89)</f>
        <v/>
      </c>
      <c r="G84" s="30">
        <f>SUM(G85:G89)</f>
        <v/>
      </c>
      <c r="H84" s="29">
        <f>SUM(H85:H89)</f>
        <v/>
      </c>
      <c r="I84" s="30">
        <f>SUM(I85:I89)</f>
        <v/>
      </c>
      <c r="J84" s="29">
        <f>SUM(J85:J89)</f>
        <v/>
      </c>
      <c r="K84" s="30">
        <f>SUM(K85:K89)</f>
        <v/>
      </c>
      <c r="L84" s="29">
        <f>SUM(L85:L89)</f>
        <v/>
      </c>
      <c r="M84" s="30">
        <f>SUM(M85:M89)</f>
        <v/>
      </c>
      <c r="O84" s="28" t="n"/>
      <c r="P84" s="28" t="n"/>
    </row>
    <row r="85" outlineLevel="1" ht="15.75" customHeight="1">
      <c r="A85" s="37" t="inlineStr">
        <is>
          <t>SERVICIOS PERSONALES INDIRECTOS -  ESPECIFICA UGI FONDO</t>
        </is>
      </c>
      <c r="B85" s="38" t="n">
        <v>816843141</v>
      </c>
      <c r="C85" s="39" t="n">
        <v>485166398</v>
      </c>
      <c r="D85" s="38" t="n">
        <v>1264436299</v>
      </c>
      <c r="E85" s="39" t="n">
        <v>427862566</v>
      </c>
      <c r="F85" s="38" t="n">
        <v>1214553429</v>
      </c>
      <c r="G85" s="39" t="n">
        <v>635313311</v>
      </c>
      <c r="H85" s="38" t="n">
        <v>861881789</v>
      </c>
      <c r="I85" s="39" t="n">
        <v>525394424</v>
      </c>
      <c r="J85" s="38" t="n">
        <v>661598523</v>
      </c>
      <c r="K85" s="39" t="n">
        <v>466693279</v>
      </c>
      <c r="L85" s="38" t="n">
        <v>1056829100</v>
      </c>
      <c r="M85" s="39" t="n">
        <v>871333379</v>
      </c>
      <c r="O85" s="28" t="n"/>
      <c r="P85" s="28" t="n"/>
    </row>
    <row r="86" outlineLevel="1" ht="15.75" customHeight="1">
      <c r="A86" s="37" t="inlineStr">
        <is>
          <t>ADQUISICIÓN DE BIENES - ESPECIFICA UGI FONDO</t>
        </is>
      </c>
      <c r="B86" s="38" t="n">
        <v>189048015</v>
      </c>
      <c r="C86" s="39" t="n">
        <v>102514424</v>
      </c>
      <c r="D86" s="38" t="n">
        <v>470074234</v>
      </c>
      <c r="E86" s="39" t="n">
        <v>299065510</v>
      </c>
      <c r="F86" s="38" t="n">
        <v>662543688</v>
      </c>
      <c r="G86" s="39" t="n">
        <v>386271275</v>
      </c>
      <c r="H86" s="38" t="n">
        <v>537766146</v>
      </c>
      <c r="I86" s="39" t="n">
        <v>311449837</v>
      </c>
      <c r="J86" s="38" t="n">
        <v>634233243</v>
      </c>
      <c r="K86" s="39" t="n">
        <v>456318601</v>
      </c>
      <c r="L86" s="38" t="n">
        <v>555132792</v>
      </c>
      <c r="M86" s="39" t="n">
        <v>436489553</v>
      </c>
      <c r="O86" s="28" t="n"/>
      <c r="P86" s="28" t="n"/>
    </row>
    <row r="87" outlineLevel="1" ht="15.75" customHeight="1">
      <c r="A87" s="37" t="inlineStr">
        <is>
          <t>ADQUISICIÓN DE SERVICIOS - ESPECIFICA UGI FONDO</t>
        </is>
      </c>
      <c r="B87" s="38" t="n">
        <v>559793666</v>
      </c>
      <c r="C87" s="39" t="n">
        <v>341554122</v>
      </c>
      <c r="D87" s="38" t="n">
        <v>1129103533</v>
      </c>
      <c r="E87" s="39" t="n">
        <v>504880175</v>
      </c>
      <c r="F87" s="38" t="n">
        <v>1279072803</v>
      </c>
      <c r="G87" s="39" t="n">
        <v>908907860</v>
      </c>
      <c r="H87" s="38" t="n">
        <v>997983170</v>
      </c>
      <c r="I87" s="39" t="n">
        <v>404261605</v>
      </c>
      <c r="J87" s="38" t="n">
        <v>811314388</v>
      </c>
      <c r="K87" s="39" t="n">
        <v>204015830</v>
      </c>
      <c r="L87" s="38" t="n">
        <v>861212245</v>
      </c>
      <c r="M87" s="39" t="n">
        <v>599964105</v>
      </c>
      <c r="O87" s="28" t="n"/>
      <c r="P87" s="28" t="n"/>
    </row>
    <row r="88" outlineLevel="1" ht="15.75" customHeight="1">
      <c r="A88" s="37" t="inlineStr">
        <is>
          <t>TRANSFERENCIAS OPERACIONES INTERNAS SIN CONTRAPRESTACIÓN - ESPECIFICA UGI FONDO</t>
        </is>
      </c>
      <c r="B88" s="38" t="n">
        <v>302369419</v>
      </c>
      <c r="C88" s="39" t="n">
        <v>125611227</v>
      </c>
      <c r="D88" s="38" t="n">
        <v>423563867</v>
      </c>
      <c r="E88" s="39" t="n">
        <v>266820011</v>
      </c>
      <c r="F88" s="38" t="n">
        <v>281137748</v>
      </c>
      <c r="G88" s="39" t="n">
        <v>108887350</v>
      </c>
      <c r="H88" s="38" t="n">
        <v>377808102</v>
      </c>
      <c r="I88" s="39" t="n">
        <v>112686866</v>
      </c>
      <c r="J88" s="38" t="n">
        <v>160531872</v>
      </c>
      <c r="K88" s="39" t="n">
        <v>77191235</v>
      </c>
      <c r="L88" s="38" t="n">
        <v>78979885</v>
      </c>
      <c r="M88" s="39" t="n">
        <v>57087850</v>
      </c>
      <c r="O88" s="28" t="n"/>
      <c r="P88" s="28" t="n"/>
    </row>
    <row r="89" outlineLevel="1" ht="15.75" customHeight="1">
      <c r="A89" s="44" t="inlineStr">
        <is>
          <t>PRESUPUESTO POR DISTRIBUIR -  ESPECIFICA UGI FONDO</t>
        </is>
      </c>
      <c r="B89" s="45" t="n">
        <v>147472288</v>
      </c>
      <c r="C89" s="46" t="n">
        <v>0</v>
      </c>
      <c r="D89" s="45" t="n">
        <v>1136800945</v>
      </c>
      <c r="E89" s="46" t="n">
        <v>0</v>
      </c>
      <c r="F89" s="45" t="n">
        <v>512494754</v>
      </c>
      <c r="G89" s="46" t="n">
        <v>0</v>
      </c>
      <c r="H89" s="45" t="n">
        <v>1704309289</v>
      </c>
      <c r="I89" s="46" t="n">
        <v>0</v>
      </c>
      <c r="J89" s="45" t="n">
        <v>1500920220</v>
      </c>
      <c r="K89" s="46" t="n">
        <v>0</v>
      </c>
      <c r="L89" s="45" t="n">
        <v>503769508</v>
      </c>
      <c r="M89" s="46" t="n">
        <v>0</v>
      </c>
      <c r="O89" s="28" t="n"/>
      <c r="P89" s="28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2024-12-12T06:45:12Z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