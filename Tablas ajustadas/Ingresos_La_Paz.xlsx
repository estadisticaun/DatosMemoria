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lockStructure="1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$&quot;\ * #,##0_-;\-&quot;$&quot;\ * #,##0_-;_-&quot;$&quot;\ * &quot;-&quot;??_-;_-@_-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20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color theme="1"/>
      <sz val="12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1" fillId="0" borderId="0"/>
    <xf numFmtId="44" fontId="1" fillId="0" borderId="0"/>
  </cellStyleXfs>
  <cellXfs count="61"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164" fontId="5" fillId="3" borderId="6" pivotButton="0" quotePrefix="0" xfId="0"/>
    <xf numFmtId="164" fontId="5" fillId="3" borderId="7" pivotButton="0" quotePrefix="0" xfId="0"/>
    <xf numFmtId="164" fontId="6" fillId="4" borderId="6" pivotButton="0" quotePrefix="0" xfId="0"/>
    <xf numFmtId="164" fontId="6" fillId="4" borderId="7" pivotButton="0" quotePrefix="0" xfId="0"/>
    <xf numFmtId="164" fontId="3" fillId="5" borderId="4" pivotButton="0" quotePrefix="0" xfId="0"/>
    <xf numFmtId="164" fontId="3" fillId="5" borderId="1" pivotButton="0" quotePrefix="0" xfId="0"/>
    <xf numFmtId="164" fontId="3" fillId="0" borderId="2" pivotButton="0" quotePrefix="0" xfId="1"/>
    <xf numFmtId="164" fontId="3" fillId="0" borderId="3" pivotButton="0" quotePrefix="0" xfId="1"/>
    <xf numFmtId="0" fontId="0" fillId="0" borderId="10" pivotButton="0" quotePrefix="0" xfId="0"/>
    <xf numFmtId="0" fontId="0" fillId="0" borderId="11" pivotButton="0" quotePrefix="0" xfId="0"/>
    <xf numFmtId="164" fontId="0" fillId="0" borderId="10" pivotButton="0" quotePrefix="0" xfId="1"/>
    <xf numFmtId="164" fontId="0" fillId="0" borderId="11" pivotButton="0" quotePrefix="0" xfId="1"/>
    <xf numFmtId="164" fontId="0" fillId="0" borderId="10" applyAlignment="1" pivotButton="0" quotePrefix="0" xfId="1">
      <alignment horizontal="left" indent="3"/>
    </xf>
    <xf numFmtId="164" fontId="0" fillId="0" borderId="11" applyAlignment="1" pivotButton="0" quotePrefix="0" xfId="1">
      <alignment horizontal="left" indent="3"/>
    </xf>
    <xf numFmtId="164" fontId="0" fillId="0" borderId="10" applyAlignment="1" pivotButton="0" quotePrefix="0" xfId="1">
      <alignment horizontal="left"/>
    </xf>
    <xf numFmtId="164" fontId="0" fillId="0" borderId="11" applyAlignment="1" pivotButton="0" quotePrefix="0" xfId="1">
      <alignment horizontal="left"/>
    </xf>
    <xf numFmtId="164" fontId="0" fillId="0" borderId="10" applyAlignment="1" pivotButton="0" quotePrefix="0" xfId="1">
      <alignment horizontal="left" vertical="center" wrapText="1" indent="3"/>
    </xf>
    <xf numFmtId="164" fontId="0" fillId="0" borderId="11" applyAlignment="1" pivotButton="0" quotePrefix="0" xfId="1">
      <alignment horizontal="left" vertical="center" wrapText="1" indent="3"/>
    </xf>
    <xf numFmtId="164" fontId="3" fillId="5" borderId="6" pivotButton="0" quotePrefix="0" xfId="1"/>
    <xf numFmtId="164" fontId="3" fillId="5" borderId="7" pivotButton="0" quotePrefix="0" xfId="1"/>
    <xf numFmtId="164" fontId="0" fillId="0" borderId="2" applyAlignment="1" pivotButton="0" quotePrefix="0" xfId="1">
      <alignment vertical="center" wrapText="1"/>
    </xf>
    <xf numFmtId="164" fontId="0" fillId="0" borderId="3" applyAlignment="1" pivotButton="0" quotePrefix="0" xfId="1">
      <alignment vertical="center" wrapText="1"/>
    </xf>
    <xf numFmtId="164" fontId="0" fillId="0" borderId="10" applyAlignment="1" pivotButton="0" quotePrefix="0" xfId="1">
      <alignment vertical="center" wrapText="1"/>
    </xf>
    <xf numFmtId="164" fontId="0" fillId="0" borderId="11" applyAlignment="1" pivotButton="0" quotePrefix="0" xfId="1">
      <alignment vertical="center" wrapText="1"/>
    </xf>
    <xf numFmtId="164" fontId="0" fillId="0" borderId="4" applyAlignment="1" pivotButton="0" quotePrefix="0" xfId="1">
      <alignment horizontal="left" vertical="center" wrapText="1" indent="3"/>
    </xf>
    <xf numFmtId="164" fontId="0" fillId="0" borderId="5" applyAlignment="1" pivotButton="0" quotePrefix="0" xfId="1">
      <alignment horizontal="left" vertical="center" wrapText="1" indent="3"/>
    </xf>
    <xf numFmtId="164" fontId="6" fillId="4" borderId="6" pivotButton="0" quotePrefix="0" xfId="1"/>
    <xf numFmtId="164" fontId="6" fillId="4" borderId="7" pivotButton="0" quotePrefix="0" xfId="1"/>
    <xf numFmtId="164" fontId="3" fillId="5" borderId="4" pivotButton="0" quotePrefix="0" xfId="1"/>
    <xf numFmtId="164" fontId="3" fillId="5" borderId="5" pivotButton="0" quotePrefix="0" xfId="1"/>
    <xf numFmtId="0" fontId="0" fillId="0" borderId="10" applyAlignment="1" pivotButton="0" quotePrefix="0" xfId="0">
      <alignment horizontal="left" indent="3"/>
    </xf>
    <xf numFmtId="0" fontId="0" fillId="0" borderId="11" applyAlignment="1" pivotButton="0" quotePrefix="0" xfId="0">
      <alignment horizontal="left" indent="3"/>
    </xf>
    <xf numFmtId="164" fontId="1" fillId="0" borderId="4" applyAlignment="1" pivotButton="0" quotePrefix="0" xfId="1">
      <alignment horizontal="left" indent="3"/>
    </xf>
    <xf numFmtId="164" fontId="1" fillId="0" borderId="5" applyAlignment="1" pivotButton="0" quotePrefix="0" xfId="1">
      <alignment horizontal="left" indent="3"/>
    </xf>
    <xf numFmtId="0" fontId="3" fillId="3" borderId="6" pivotButton="0" quotePrefix="0" xfId="0"/>
    <xf numFmtId="0" fontId="6" fillId="4" borderId="6" pivotButton="0" quotePrefix="1" xfId="0"/>
    <xf numFmtId="0" fontId="3" fillId="5" borderId="4" pivotButton="0" quotePrefix="0" xfId="0"/>
    <xf numFmtId="0" fontId="3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/>
    </xf>
    <xf numFmtId="0" fontId="0" fillId="0" borderId="9" applyAlignment="1" pivotButton="0" quotePrefix="0" xfId="0">
      <alignment horizontal="left" vertical="center"/>
    </xf>
    <xf numFmtId="164" fontId="3" fillId="5" borderId="12" pivotButton="0" quotePrefix="0" xfId="0"/>
    <xf numFmtId="0" fontId="0" fillId="0" borderId="8" pivotButton="0" quotePrefix="0" xfId="0"/>
    <xf numFmtId="0" fontId="0" fillId="0" borderId="13" applyAlignment="1" pivotButton="0" quotePrefix="0" xfId="0">
      <alignment horizontal="left"/>
    </xf>
    <xf numFmtId="0" fontId="6" fillId="4" borderId="12" pivotButton="0" quotePrefix="1" xfId="0"/>
    <xf numFmtId="0" fontId="3" fillId="5" borderId="13" pivotButton="0" quotePrefix="0" xfId="0"/>
    <xf numFmtId="0" fontId="0" fillId="0" borderId="9" applyAlignment="1" pivotButton="0" quotePrefix="0" xfId="0">
      <alignment vertical="center"/>
    </xf>
    <xf numFmtId="0" fontId="0" fillId="0" borderId="13" applyAlignment="1" pivotButton="0" quotePrefix="0" xfId="0">
      <alignment horizontal="left" vertical="center"/>
    </xf>
    <xf numFmtId="0" fontId="0" fillId="0" borderId="1" pivotButton="0" quotePrefix="0" xfId="0"/>
    <xf numFmtId="0" fontId="2" fillId="2" borderId="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2">
    <cellStyle name="Normal" xfId="0" builtinId="0"/>
    <cellStyle name="Mon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tabSelected="1" workbookViewId="0">
      <selection activeCell="A10" sqref="A10"/>
    </sheetView>
  </sheetViews>
  <sheetFormatPr baseColWidth="10" defaultColWidth="0" defaultRowHeight="15" zeroHeight="1"/>
  <cols>
    <col width="42.5703125" customWidth="1" min="1" max="1"/>
    <col width="23" bestFit="1" customWidth="1" min="2" max="2"/>
    <col width="27.42578125" bestFit="1" customWidth="1" min="3" max="3"/>
    <col width="23" bestFit="1" customWidth="1" min="4" max="4"/>
    <col width="27.42578125" bestFit="1" customWidth="1" min="5" max="5"/>
    <col width="23" bestFit="1" customWidth="1" min="6" max="6"/>
    <col width="27.42578125" bestFit="1" customWidth="1" min="7" max="7"/>
    <col width="23" bestFit="1" customWidth="1" min="8" max="8"/>
    <col width="27.42578125" bestFit="1" customWidth="1" min="9" max="9"/>
    <col hidden="1" width="11.42578125" customWidth="1" min="10" max="16384"/>
  </cols>
  <sheetData>
    <row r="1">
      <c r="A1" s="2" t="inlineStr">
        <is>
          <t>UNIDAD GESTION GENERAL SEDE LA PAZ</t>
        </is>
      </c>
    </row>
    <row r="2">
      <c r="A2" s="56" t="n"/>
      <c r="B2" s="56" t="n"/>
      <c r="C2" s="56" t="n"/>
      <c r="D2" s="56" t="n"/>
      <c r="E2" s="56" t="n"/>
      <c r="F2" s="56" t="n"/>
      <c r="G2" s="56" t="n"/>
      <c r="H2" s="56" t="n"/>
      <c r="I2" s="56" t="n"/>
    </row>
    <row r="3">
      <c r="A3" s="57" t="inlineStr">
        <is>
          <t>CONCEPTO</t>
        </is>
      </c>
      <c r="B3" s="58" t="n">
        <v>2018</v>
      </c>
      <c r="C3" s="59" t="n"/>
      <c r="D3" s="58" t="n">
        <v>2019</v>
      </c>
      <c r="E3" s="59" t="n"/>
      <c r="F3" s="58" t="n">
        <v>2020</v>
      </c>
      <c r="G3" s="59" t="n"/>
      <c r="H3" s="58" t="n">
        <v>2021</v>
      </c>
      <c r="I3" s="59" t="n"/>
    </row>
    <row r="4">
      <c r="A4" s="60" t="n"/>
      <c r="B4" s="6" t="inlineStr">
        <is>
          <t>Aforo vigente</t>
        </is>
      </c>
      <c r="C4" s="7" t="inlineStr">
        <is>
          <t>Recaudo efectivo acumulado</t>
        </is>
      </c>
      <c r="D4" s="6" t="inlineStr">
        <is>
          <t>Aforo vigente</t>
        </is>
      </c>
      <c r="E4" s="7" t="inlineStr">
        <is>
          <t>Recaudo efectivo acumulado</t>
        </is>
      </c>
      <c r="F4" s="6" t="inlineStr">
        <is>
          <t>Aforo vigente</t>
        </is>
      </c>
      <c r="G4" s="7" t="inlineStr">
        <is>
          <t>Recaudo efectivo acumulado</t>
        </is>
      </c>
      <c r="H4" s="6" t="inlineStr">
        <is>
          <t>Aforo vigente</t>
        </is>
      </c>
      <c r="I4" s="7" t="inlineStr">
        <is>
          <t>Recaudo efectivo acumulado</t>
        </is>
      </c>
    </row>
    <row r="5" ht="18.75" customHeight="1">
      <c r="A5" s="42" t="inlineStr">
        <is>
          <t>GESTION GENERAL</t>
        </is>
      </c>
      <c r="B5" s="8">
        <f>+B6+B35</f>
        <v/>
      </c>
      <c r="C5" s="9">
        <f>+C6+C35</f>
        <v/>
      </c>
      <c r="D5" s="8">
        <f>+D6+D35</f>
        <v/>
      </c>
      <c r="E5" s="9">
        <f>+E6+E35</f>
        <v/>
      </c>
      <c r="F5" s="8">
        <f>+F6+F35</f>
        <v/>
      </c>
      <c r="G5" s="9">
        <f>+G6+G35</f>
        <v/>
      </c>
      <c r="H5" s="8">
        <f>+H6+H35</f>
        <v/>
      </c>
      <c r="I5" s="9">
        <f>+I6+I35</f>
        <v/>
      </c>
    </row>
    <row r="6" ht="15.75" customHeight="1">
      <c r="A6" s="43" t="inlineStr">
        <is>
          <t>- NIVEL CENTRAL</t>
        </is>
      </c>
      <c r="B6" s="10">
        <f>+B7+B27</f>
        <v/>
      </c>
      <c r="C6" s="11">
        <f>+C7+C27</f>
        <v/>
      </c>
      <c r="D6" s="10">
        <f>+D7+D27</f>
        <v/>
      </c>
      <c r="E6" s="11">
        <f>+E7+E27</f>
        <v/>
      </c>
      <c r="F6" s="10">
        <f>+F7+F27</f>
        <v/>
      </c>
      <c r="G6" s="11">
        <f>+G7+G27</f>
        <v/>
      </c>
      <c r="H6" s="10">
        <f>+H7+H27</f>
        <v/>
      </c>
      <c r="I6" s="11">
        <f>+I7+I27</f>
        <v/>
      </c>
    </row>
    <row r="7">
      <c r="A7" s="44" t="inlineStr">
        <is>
          <t xml:space="preserve">I. Recursos propios </t>
        </is>
      </c>
      <c r="B7" s="12">
        <f>+B8+B20</f>
        <v/>
      </c>
      <c r="C7" s="13">
        <f>+C8+C20</f>
        <v/>
      </c>
      <c r="D7" s="12">
        <f>+D8+D20</f>
        <v/>
      </c>
      <c r="E7" s="13">
        <f>+E8+E20</f>
        <v/>
      </c>
      <c r="F7" s="12">
        <f>+F8+F20</f>
        <v/>
      </c>
      <c r="G7" s="13">
        <f>+G8+G20</f>
        <v/>
      </c>
      <c r="H7" s="12">
        <f>+H8+H20</f>
        <v/>
      </c>
      <c r="I7" s="13">
        <f>+I8+I20</f>
        <v/>
      </c>
    </row>
    <row r="8" ht="15.75" customHeight="1">
      <c r="A8" s="45" t="inlineStr">
        <is>
          <t>1. Ingresos corrientes</t>
        </is>
      </c>
      <c r="B8" s="14">
        <f>+B9+B14+B18</f>
        <v/>
      </c>
      <c r="C8" s="15">
        <f>+C9+C14+C18</f>
        <v/>
      </c>
      <c r="D8" s="14">
        <f>+D9+D14+D18</f>
        <v/>
      </c>
      <c r="E8" s="15">
        <f>+E9+E14+E18</f>
        <v/>
      </c>
      <c r="F8" s="14">
        <f>+F9+F14+F18</f>
        <v/>
      </c>
      <c r="G8" s="15">
        <f>+G9+G14+G18</f>
        <v/>
      </c>
      <c r="H8" s="14">
        <f>+H9+H14+H18</f>
        <v/>
      </c>
      <c r="I8" s="15">
        <f>+I9+I14+I18</f>
        <v/>
      </c>
    </row>
    <row r="9" ht="15.75" customHeight="1">
      <c r="A9" s="46" t="inlineStr">
        <is>
          <t>SERVICIOS ACADÉMICOS PREGRADO</t>
        </is>
      </c>
      <c r="B9" s="16" t="n"/>
      <c r="C9" s="17" t="n"/>
      <c r="D9" s="18">
        <f>SUM(D10:D13)</f>
        <v/>
      </c>
      <c r="E9" s="19">
        <f>SUM(E10:E13)</f>
        <v/>
      </c>
      <c r="F9" s="18">
        <f>SUM(F10:F13)</f>
        <v/>
      </c>
      <c r="G9" s="19">
        <f>SUM(G10:G13)</f>
        <v/>
      </c>
      <c r="H9" s="18">
        <f>SUM(H10:H13)</f>
        <v/>
      </c>
      <c r="I9" s="19">
        <f>SUM(I10:I13)</f>
        <v/>
      </c>
    </row>
    <row r="10" ht="15.75" customHeight="1">
      <c r="A10" s="47" t="inlineStr">
        <is>
          <t>Matrículas pregrado</t>
        </is>
      </c>
      <c r="B10" s="20" t="n"/>
      <c r="C10" s="21" t="n"/>
      <c r="D10" s="20" t="n">
        <v>0</v>
      </c>
      <c r="E10" s="21" t="n">
        <v>27007989</v>
      </c>
      <c r="F10" s="20" t="n">
        <v>0</v>
      </c>
      <c r="G10" s="21" t="n">
        <v>75447393</v>
      </c>
      <c r="H10" s="20" t="n">
        <v>0</v>
      </c>
      <c r="I10" s="21" t="n">
        <v>88544238</v>
      </c>
    </row>
    <row r="11" ht="15.75" customHeight="1">
      <c r="A11" s="47" t="inlineStr">
        <is>
          <t>Sistematización matrícula pregrado</t>
        </is>
      </c>
      <c r="B11" s="20" t="n"/>
      <c r="C11" s="21" t="n"/>
      <c r="D11" s="20" t="n">
        <v>0</v>
      </c>
      <c r="E11" s="21" t="n">
        <v>10746694</v>
      </c>
      <c r="F11" s="20" t="n">
        <v>0</v>
      </c>
      <c r="G11" s="21" t="n">
        <v>43620841</v>
      </c>
      <c r="H11" s="20" t="n">
        <v>0</v>
      </c>
      <c r="I11" s="21" t="n">
        <v>44238676</v>
      </c>
    </row>
    <row r="12" ht="15.75" customHeight="1">
      <c r="A12" s="47" t="inlineStr">
        <is>
          <t>Bienestar matricula pregrado</t>
        </is>
      </c>
      <c r="B12" s="20" t="n"/>
      <c r="C12" s="21" t="n"/>
      <c r="D12" s="20" t="n">
        <v>0</v>
      </c>
      <c r="E12" s="21" t="n">
        <v>4233684</v>
      </c>
      <c r="F12" s="20" t="n">
        <v>0</v>
      </c>
      <c r="G12" s="21" t="n">
        <v>15448046</v>
      </c>
      <c r="H12" s="20" t="n">
        <v>0</v>
      </c>
      <c r="I12" s="21" t="n">
        <v>17177911</v>
      </c>
    </row>
    <row r="13" ht="15.75" customHeight="1">
      <c r="A13" s="47" t="inlineStr">
        <is>
          <t>PROGRAMACION GENERACION EXCELENCIA</t>
        </is>
      </c>
      <c r="B13" s="20" t="n"/>
      <c r="C13" s="21" t="n"/>
      <c r="D13" s="20" t="n"/>
      <c r="E13" s="21" t="n"/>
      <c r="F13" s="20" t="n">
        <v>0</v>
      </c>
      <c r="G13" s="21" t="n">
        <v>2186666</v>
      </c>
      <c r="H13" s="20" t="n">
        <v>0</v>
      </c>
      <c r="I13" s="21" t="n">
        <v>1770349</v>
      </c>
    </row>
    <row r="14" ht="15.75" customHeight="1">
      <c r="A14" s="46" t="inlineStr">
        <is>
          <t>OTROS INGRESOS</t>
        </is>
      </c>
      <c r="B14" s="16" t="n"/>
      <c r="C14" s="17" t="n"/>
      <c r="D14" s="18">
        <f>SUM(D15:D17)</f>
        <v/>
      </c>
      <c r="E14" s="19">
        <f>SUM(E15:E17)</f>
        <v/>
      </c>
      <c r="F14" s="18">
        <f>SUM(F15:F17)</f>
        <v/>
      </c>
      <c r="G14" s="19">
        <f>SUM(G15:G17)</f>
        <v/>
      </c>
      <c r="H14" s="18">
        <f>SUM(H15:H17)</f>
        <v/>
      </c>
      <c r="I14" s="19">
        <f>SUM(I15:I17)</f>
        <v/>
      </c>
    </row>
    <row r="15" ht="15.75" customHeight="1">
      <c r="A15" s="48" t="inlineStr">
        <is>
          <t>Devolución iva</t>
        </is>
      </c>
      <c r="B15" s="20" t="n"/>
      <c r="C15" s="21" t="n"/>
      <c r="D15" s="20" t="n">
        <v>20080000</v>
      </c>
      <c r="E15" s="21" t="n">
        <v>233148996</v>
      </c>
      <c r="F15" s="20" t="n">
        <v>0</v>
      </c>
      <c r="G15" s="21" t="n">
        <v>372642451</v>
      </c>
      <c r="H15" s="20" t="n">
        <v>0</v>
      </c>
      <c r="I15" s="21" t="n">
        <v>1029395261</v>
      </c>
    </row>
    <row r="16" ht="15.75" customHeight="1">
      <c r="A16" s="48" t="inlineStr">
        <is>
          <t>Recuperaciones</t>
        </is>
      </c>
      <c r="B16" s="20" t="n"/>
      <c r="C16" s="21" t="n"/>
      <c r="D16" s="20" t="n"/>
      <c r="E16" s="21" t="n"/>
      <c r="F16" s="20" t="n">
        <v>0</v>
      </c>
      <c r="G16" s="21" t="n">
        <v>18052181</v>
      </c>
      <c r="H16" s="20" t="n"/>
      <c r="I16" s="21" t="n"/>
    </row>
    <row r="17" ht="15.75" customHeight="1">
      <c r="A17" s="48" t="inlineStr">
        <is>
          <t>Otros</t>
        </is>
      </c>
      <c r="B17" s="20" t="n"/>
      <c r="C17" s="21" t="n"/>
      <c r="D17" s="20" t="n">
        <v>0</v>
      </c>
      <c r="E17" s="21" t="n">
        <v>1561726</v>
      </c>
      <c r="F17" s="20" t="n">
        <v>0</v>
      </c>
      <c r="G17" s="21" t="n">
        <v>508557</v>
      </c>
      <c r="H17" s="20" t="n">
        <v>0</v>
      </c>
      <c r="I17" s="21" t="n">
        <v>5971</v>
      </c>
    </row>
    <row r="18" ht="15.75" customHeight="1">
      <c r="A18" s="46" t="inlineStr">
        <is>
          <t>TRANSFERENCIAS OPERACIONES INTERNAS SIN CONTRAPRESTACIÓN</t>
        </is>
      </c>
      <c r="B18" s="16" t="n"/>
      <c r="C18" s="17" t="n"/>
      <c r="D18" s="16" t="n"/>
      <c r="E18" s="17" t="n"/>
      <c r="F18" s="16" t="n"/>
      <c r="G18" s="17" t="n"/>
      <c r="H18" s="18">
        <f>SUM(H19:H19)</f>
        <v/>
      </c>
      <c r="I18" s="19">
        <f>SUM(I19:I19)</f>
        <v/>
      </c>
    </row>
    <row r="19" ht="15.75" customHeight="1">
      <c r="A19" s="48" t="inlineStr">
        <is>
          <t>Transferencias o.i  fondo de investigación - ugi</t>
        </is>
      </c>
      <c r="B19" s="16" t="n"/>
      <c r="C19" s="17" t="n"/>
      <c r="D19" s="16" t="n"/>
      <c r="E19" s="17" t="n"/>
      <c r="F19" s="16" t="n"/>
      <c r="G19" s="17" t="n"/>
      <c r="H19" s="20" t="n">
        <v>115000000</v>
      </c>
      <c r="I19" s="21" t="n">
        <v>115000000</v>
      </c>
    </row>
    <row r="20" ht="15.75" customHeight="1">
      <c r="A20" s="45" t="inlineStr">
        <is>
          <t>2. Recursos de capital</t>
        </is>
      </c>
      <c r="B20" s="14">
        <f>+B21+B23+B25</f>
        <v/>
      </c>
      <c r="C20" s="15">
        <f>+C21+C23+C25</f>
        <v/>
      </c>
      <c r="D20" s="14">
        <f>+D21+D23+D25</f>
        <v/>
      </c>
      <c r="E20" s="15">
        <f>+E21+E23+E25</f>
        <v/>
      </c>
      <c r="F20" s="14">
        <f>+F21+F23+F25</f>
        <v/>
      </c>
      <c r="G20" s="15">
        <f>+G21+G23+G25</f>
        <v/>
      </c>
      <c r="H20" s="14">
        <f>+H21+H23+H25</f>
        <v/>
      </c>
      <c r="I20" s="15">
        <f>+I21+I23+I25</f>
        <v/>
      </c>
    </row>
    <row r="21" ht="15.75" customHeight="1">
      <c r="A21" s="46" t="inlineStr">
        <is>
          <t>RENDIMIENTOS FINANCIEROS</t>
        </is>
      </c>
      <c r="B21" s="22">
        <f>SUM(B22:B22)</f>
        <v/>
      </c>
      <c r="C21" s="23">
        <f>SUM(C22:C22)</f>
        <v/>
      </c>
      <c r="D21" s="22">
        <f>SUM(D22:D22)</f>
        <v/>
      </c>
      <c r="E21" s="23">
        <f>SUM(E22:E22)</f>
        <v/>
      </c>
      <c r="F21" s="22">
        <f>SUM(F22:F22)</f>
        <v/>
      </c>
      <c r="G21" s="23">
        <f>SUM(G22:G22)</f>
        <v/>
      </c>
      <c r="H21" s="22">
        <f>SUM(H22:H22)</f>
        <v/>
      </c>
      <c r="I21" s="23">
        <f>SUM(I22:I22)</f>
        <v/>
      </c>
    </row>
    <row r="22" ht="15.75" customHeight="1">
      <c r="A22" s="48" t="inlineStr">
        <is>
          <t>Rendimientos  entidades financieras</t>
        </is>
      </c>
      <c r="B22" s="24" t="n">
        <v>0</v>
      </c>
      <c r="C22" s="25" t="n">
        <v>2696270</v>
      </c>
      <c r="D22" s="24" t="n">
        <v>0</v>
      </c>
      <c r="E22" s="25" t="n">
        <v>8814712</v>
      </c>
      <c r="F22" s="24" t="n">
        <v>0</v>
      </c>
      <c r="G22" s="25" t="n">
        <v>642005884</v>
      </c>
      <c r="H22" s="24" t="n">
        <v>223600000</v>
      </c>
      <c r="I22" s="25" t="n">
        <v>1251977464</v>
      </c>
    </row>
    <row r="23" ht="15.75" customHeight="1">
      <c r="A23" s="46" t="inlineStr">
        <is>
          <t>EXCEDENTES FINANCIEROS</t>
        </is>
      </c>
      <c r="B23" s="22">
        <f>SUM(B24:B24)</f>
        <v/>
      </c>
      <c r="C23" s="23">
        <f>SUM(C24:C24)</f>
        <v/>
      </c>
      <c r="D23" s="22">
        <f>SUM(D24:D24)</f>
        <v/>
      </c>
      <c r="E23" s="23">
        <f>SUM(E24:E24)</f>
        <v/>
      </c>
      <c r="F23" s="22">
        <f>SUM(F24:F24)</f>
        <v/>
      </c>
      <c r="G23" s="23">
        <f>SUM(G24:G24)</f>
        <v/>
      </c>
      <c r="H23" s="22">
        <f>SUM(H24:H24)</f>
        <v/>
      </c>
      <c r="I23" s="23">
        <f>SUM(I24:I24)</f>
        <v/>
      </c>
    </row>
    <row r="24" ht="15.75" customHeight="1">
      <c r="A24" s="48" t="inlineStr">
        <is>
          <t>Excedentes financieros -  gestión general</t>
        </is>
      </c>
      <c r="B24" s="24" t="n">
        <v>6000000000</v>
      </c>
      <c r="C24" s="25" t="n">
        <v>6000000000</v>
      </c>
      <c r="D24" s="24" t="n">
        <v>7361233672</v>
      </c>
      <c r="E24" s="25" t="n">
        <v>7361233672</v>
      </c>
      <c r="F24" s="24" t="n">
        <v>7637101483</v>
      </c>
      <c r="G24" s="25" t="n">
        <v>7637101483</v>
      </c>
      <c r="H24" s="24" t="n">
        <v>8057718761</v>
      </c>
      <c r="I24" s="25" t="n">
        <v>8057718761</v>
      </c>
    </row>
    <row r="25" ht="15.75" customHeight="1">
      <c r="A25" s="46" t="inlineStr">
        <is>
          <t>DONACIONES EN DINERO</t>
        </is>
      </c>
      <c r="B25" s="22">
        <f>SUM(B26:B26)</f>
        <v/>
      </c>
      <c r="C25" s="23">
        <f>SUM(C26:C26)</f>
        <v/>
      </c>
      <c r="D25" s="22" t="n"/>
      <c r="E25" s="23" t="n"/>
      <c r="F25" s="22" t="n"/>
      <c r="G25" s="23" t="n"/>
      <c r="H25" s="22" t="n"/>
      <c r="I25" s="23" t="n"/>
    </row>
    <row r="26" ht="15.75" customHeight="1">
      <c r="A26" s="48" t="inlineStr">
        <is>
          <t>Donaciones en dinero</t>
        </is>
      </c>
      <c r="B26" s="24" t="n">
        <v>654062748</v>
      </c>
      <c r="C26" s="25" t="n">
        <v>0</v>
      </c>
      <c r="D26" s="24" t="n"/>
      <c r="E26" s="25" t="n"/>
      <c r="F26" s="24" t="n"/>
      <c r="G26" s="25" t="n"/>
      <c r="H26" s="24" t="n"/>
      <c r="I26" s="25" t="n"/>
    </row>
    <row r="27" ht="15.75" customHeight="1">
      <c r="A27" s="49" t="inlineStr">
        <is>
          <t>II. Aportes Nación</t>
        </is>
      </c>
      <c r="B27" s="26">
        <f>+B28+B33</f>
        <v/>
      </c>
      <c r="C27" s="27">
        <f>+C28+C33</f>
        <v/>
      </c>
      <c r="D27" s="26">
        <f>+D28+D33</f>
        <v/>
      </c>
      <c r="E27" s="27">
        <f>+E28+E33</f>
        <v/>
      </c>
      <c r="F27" s="26">
        <f>+F28+F33</f>
        <v/>
      </c>
      <c r="G27" s="27">
        <f>+G28+G33</f>
        <v/>
      </c>
      <c r="H27" s="26">
        <f>+H28+H33</f>
        <v/>
      </c>
      <c r="I27" s="27">
        <f>+I28+I33</f>
        <v/>
      </c>
    </row>
    <row r="28" ht="15.75" customHeight="1">
      <c r="A28" s="50" t="inlineStr">
        <is>
          <t>FUNCIONAMIENTO</t>
        </is>
      </c>
      <c r="B28" s="28">
        <f>SUM(B29:B32)</f>
        <v/>
      </c>
      <c r="C28" s="29">
        <f>SUM(C29:C32)</f>
        <v/>
      </c>
      <c r="D28" s="28">
        <f>SUM(D29:D32)</f>
        <v/>
      </c>
      <c r="E28" s="29">
        <f>SUM(E29:E32)</f>
        <v/>
      </c>
      <c r="F28" s="28">
        <f>SUM(F29:F32)</f>
        <v/>
      </c>
      <c r="G28" s="29">
        <f>SUM(G29:G32)</f>
        <v/>
      </c>
      <c r="H28" s="28">
        <f>SUM(H29:H32)</f>
        <v/>
      </c>
      <c r="I28" s="29">
        <f>SUM(I29:I32)</f>
        <v/>
      </c>
    </row>
    <row r="29" ht="15.75" customHeight="1">
      <c r="A29" s="47" t="inlineStr">
        <is>
          <t>Flujo de fondos  y apropiación de funcionamiento pendiente por distribuir</t>
        </is>
      </c>
      <c r="B29" s="20" t="n">
        <v>20000000000</v>
      </c>
      <c r="C29" s="21" t="n">
        <v>0</v>
      </c>
      <c r="D29" s="20" t="n">
        <v>9114098900</v>
      </c>
      <c r="E29" s="21" t="n">
        <v>9114098900</v>
      </c>
      <c r="F29" s="20" t="n"/>
      <c r="G29" s="21" t="n"/>
      <c r="H29" s="20" t="n"/>
      <c r="I29" s="21" t="n"/>
    </row>
    <row r="30" ht="15.75" customHeight="1">
      <c r="A30" s="47" t="inlineStr">
        <is>
          <t>Gastos de personal</t>
        </is>
      </c>
      <c r="B30" s="20" t="n"/>
      <c r="C30" s="21" t="n"/>
      <c r="D30" s="20" t="n">
        <v>4850496600</v>
      </c>
      <c r="E30" s="21" t="n">
        <v>4850496600</v>
      </c>
      <c r="F30" s="20" t="n">
        <v>8865743536</v>
      </c>
      <c r="G30" s="21" t="n">
        <v>8865743536</v>
      </c>
      <c r="H30" s="20" t="n">
        <v>10111687053</v>
      </c>
      <c r="I30" s="21" t="n">
        <v>10111687053</v>
      </c>
    </row>
    <row r="31" ht="15.75" customHeight="1">
      <c r="A31" s="47" t="inlineStr">
        <is>
          <t>Gastos generales</t>
        </is>
      </c>
      <c r="B31" s="20" t="n"/>
      <c r="C31" s="21" t="n"/>
      <c r="D31" s="20" t="n">
        <v>5822404500</v>
      </c>
      <c r="E31" s="21" t="n">
        <v>5822404500</v>
      </c>
      <c r="F31" s="20" t="n">
        <v>11291862934</v>
      </c>
      <c r="G31" s="21" t="n">
        <v>11291862934</v>
      </c>
      <c r="H31" s="20" t="n">
        <v>10898376684</v>
      </c>
      <c r="I31" s="21" t="n">
        <v>10898376684</v>
      </c>
    </row>
    <row r="32" ht="15.75" customHeight="1">
      <c r="A32" s="47" t="inlineStr">
        <is>
          <t>Transferencias corrientes</t>
        </is>
      </c>
      <c r="B32" s="20" t="n"/>
      <c r="C32" s="21" t="n"/>
      <c r="D32" s="20" t="n">
        <v>873000000</v>
      </c>
      <c r="E32" s="21" t="n">
        <v>873000000</v>
      </c>
      <c r="F32" s="20" t="n">
        <v>1172950000</v>
      </c>
      <c r="G32" s="21" t="n">
        <v>1172950000</v>
      </c>
      <c r="H32" s="20" t="n">
        <v>720000000</v>
      </c>
      <c r="I32" s="21" t="n">
        <v>720000000</v>
      </c>
    </row>
    <row r="33" ht="15.75" customHeight="1">
      <c r="A33" s="46" t="inlineStr">
        <is>
          <t>INVERSIÓN</t>
        </is>
      </c>
      <c r="B33" s="30">
        <f>SUM(B34:B34)</f>
        <v/>
      </c>
      <c r="C33" s="31">
        <f>SUM(C34:C34)</f>
        <v/>
      </c>
      <c r="D33" s="30">
        <f>SUM(D34:D34)</f>
        <v/>
      </c>
      <c r="E33" s="31">
        <f>SUM(E34:E34)</f>
        <v/>
      </c>
      <c r="F33" s="30">
        <f>SUM(F34:F34)</f>
        <v/>
      </c>
      <c r="G33" s="31">
        <f>SUM(G34:G34)</f>
        <v/>
      </c>
      <c r="H33" s="30">
        <f>SUM(H34:H34)</f>
        <v/>
      </c>
      <c r="I33" s="31">
        <f>SUM(I34:I34)</f>
        <v/>
      </c>
    </row>
    <row r="34" ht="15.75" customHeight="1">
      <c r="A34" s="51" t="inlineStr">
        <is>
          <t>Inversión</t>
        </is>
      </c>
      <c r="B34" s="32" t="n">
        <v>3425376265</v>
      </c>
      <c r="C34" s="33" t="n">
        <v>3425376265</v>
      </c>
      <c r="D34" s="32" t="n">
        <v>4073996812</v>
      </c>
      <c r="E34" s="33" t="n">
        <v>4073996812</v>
      </c>
      <c r="F34" s="32" t="n">
        <v>4179946000</v>
      </c>
      <c r="G34" s="33" t="n">
        <v>4179946000</v>
      </c>
      <c r="H34" s="32" t="n">
        <v>4183280007</v>
      </c>
      <c r="I34" s="33" t="n">
        <v>4183280007</v>
      </c>
    </row>
    <row r="35" ht="15.75" customHeight="1">
      <c r="A35" s="52" t="inlineStr">
        <is>
          <t>- FONDOS ESPECIALES</t>
        </is>
      </c>
      <c r="B35" s="34">
        <f>+B36</f>
        <v/>
      </c>
      <c r="C35" s="35">
        <f>+C36</f>
        <v/>
      </c>
      <c r="D35" s="34">
        <f>+D36</f>
        <v/>
      </c>
      <c r="E35" s="35">
        <f>+E36</f>
        <v/>
      </c>
      <c r="F35" s="34">
        <f>+F36</f>
        <v/>
      </c>
      <c r="G35" s="35">
        <f>+G36</f>
        <v/>
      </c>
      <c r="H35" s="34">
        <f>+H36</f>
        <v/>
      </c>
      <c r="I35" s="35">
        <f>+I36</f>
        <v/>
      </c>
    </row>
    <row r="36" ht="15.75" customHeight="1">
      <c r="A36" s="53" t="inlineStr">
        <is>
          <t xml:space="preserve">I. Recursos propios </t>
        </is>
      </c>
      <c r="B36" s="36">
        <f>+B37+B42</f>
        <v/>
      </c>
      <c r="C36" s="37">
        <f>+C37+C42</f>
        <v/>
      </c>
      <c r="D36" s="36">
        <f>+D37+D42</f>
        <v/>
      </c>
      <c r="E36" s="37">
        <f>+E37+E42</f>
        <v/>
      </c>
      <c r="F36" s="36">
        <f>+F37+F42</f>
        <v/>
      </c>
      <c r="G36" s="37">
        <f>+G37+G42</f>
        <v/>
      </c>
      <c r="H36" s="36">
        <f>+H37+H42</f>
        <v/>
      </c>
      <c r="I36" s="37">
        <f>+I37+I42</f>
        <v/>
      </c>
    </row>
    <row r="37" ht="15.75" customHeight="1">
      <c r="A37" s="45" t="inlineStr">
        <is>
          <t>1. Ingresos corrientes</t>
        </is>
      </c>
      <c r="B37" s="14">
        <f>+B38+B40</f>
        <v/>
      </c>
      <c r="C37" s="15">
        <f>+C38+C40</f>
        <v/>
      </c>
      <c r="D37" s="14">
        <f>+D38+D40</f>
        <v/>
      </c>
      <c r="E37" s="15">
        <f>+E38+E40</f>
        <v/>
      </c>
      <c r="F37" s="14">
        <f>+F38+F40</f>
        <v/>
      </c>
      <c r="G37" s="15">
        <f>+G38+G40</f>
        <v/>
      </c>
      <c r="H37" s="14">
        <f>+H38+H40</f>
        <v/>
      </c>
      <c r="I37" s="15">
        <f>+I38+I40</f>
        <v/>
      </c>
    </row>
    <row r="38" ht="15.75" customHeight="1">
      <c r="A38" s="46" t="inlineStr">
        <is>
          <t>SERVICIOS ACADÉMICOS PREGRADO</t>
        </is>
      </c>
      <c r="B38" s="16" t="n"/>
      <c r="C38" s="17" t="n"/>
      <c r="D38" s="16" t="n"/>
      <c r="E38" s="17" t="n"/>
      <c r="F38" s="16" t="n"/>
      <c r="G38" s="17" t="n"/>
      <c r="H38" s="18" t="n">
        <v>0</v>
      </c>
      <c r="I38" s="19">
        <f>SUM(I39:I39)</f>
        <v/>
      </c>
    </row>
    <row r="39" ht="15.75" customHeight="1">
      <c r="A39" s="48" t="inlineStr">
        <is>
          <t>Expedición de documentos y certificaciones de pregrado</t>
        </is>
      </c>
      <c r="B39" s="38" t="n"/>
      <c r="C39" s="39" t="n"/>
      <c r="D39" s="38" t="n"/>
      <c r="E39" s="39" t="n"/>
      <c r="F39" s="38" t="n"/>
      <c r="G39" s="39" t="n"/>
      <c r="H39" s="20" t="n"/>
      <c r="I39" s="21" t="n">
        <v>9000</v>
      </c>
    </row>
    <row r="40" ht="15.75" customHeight="1">
      <c r="A40" s="46" t="inlineStr">
        <is>
          <t>SERVICIOS DE EXTENSIÓN</t>
        </is>
      </c>
      <c r="B40" s="16" t="n"/>
      <c r="C40" s="17" t="n"/>
      <c r="D40" s="16" t="n"/>
      <c r="E40" s="17" t="n"/>
      <c r="F40" s="16" t="n"/>
      <c r="G40" s="17" t="n"/>
      <c r="H40" s="18">
        <f>SUM(H41:H41)</f>
        <v/>
      </c>
      <c r="I40" s="19">
        <f>SUM(I41:I41)</f>
        <v/>
      </c>
    </row>
    <row r="41" ht="15.75" customHeight="1">
      <c r="A41" s="48" t="inlineStr">
        <is>
          <t>Consultorías y asesorías</t>
        </is>
      </c>
      <c r="B41" s="38" t="n"/>
      <c r="C41" s="39" t="n"/>
      <c r="D41" s="38" t="n"/>
      <c r="E41" s="39" t="n"/>
      <c r="F41" s="38" t="n"/>
      <c r="G41" s="39" t="n"/>
      <c r="H41" s="20" t="n">
        <v>750000000</v>
      </c>
      <c r="I41" s="21" t="n">
        <v>712500000</v>
      </c>
    </row>
    <row r="42" ht="15.75" customHeight="1">
      <c r="A42" s="45" t="inlineStr">
        <is>
          <t>2. Recursos de capital</t>
        </is>
      </c>
      <c r="B42" s="14">
        <f>+B43</f>
        <v/>
      </c>
      <c r="C42" s="15">
        <f>+C43</f>
        <v/>
      </c>
      <c r="D42" s="14">
        <f>+D43</f>
        <v/>
      </c>
      <c r="E42" s="15">
        <f>+E43</f>
        <v/>
      </c>
      <c r="F42" s="14">
        <f>+F43</f>
        <v/>
      </c>
      <c r="G42" s="15">
        <f>+G43</f>
        <v/>
      </c>
      <c r="H42" s="14">
        <f>+H43</f>
        <v/>
      </c>
      <c r="I42" s="15">
        <f>+I43</f>
        <v/>
      </c>
    </row>
    <row r="43" ht="15.75" customHeight="1">
      <c r="A43" s="54" t="inlineStr">
        <is>
          <t>EXCEDENTES FINANCIEROS</t>
        </is>
      </c>
      <c r="B43" s="16" t="n"/>
      <c r="C43" s="17" t="n"/>
      <c r="D43" s="16" t="n"/>
      <c r="E43" s="17" t="n"/>
      <c r="F43" s="16" t="n"/>
      <c r="G43" s="17" t="n"/>
      <c r="H43" s="18">
        <f>SUM(H44:H44)</f>
        <v/>
      </c>
      <c r="I43" s="19">
        <f>SUM(I44:I44)</f>
        <v/>
      </c>
    </row>
    <row r="44" ht="15.75" customHeight="1">
      <c r="A44" s="55" t="inlineStr">
        <is>
          <t>Excedente del  fondo  nacional de  extensión solidaria y  del fondo de riesgos para la extensión</t>
        </is>
      </c>
      <c r="B44" s="40" t="n"/>
      <c r="C44" s="41" t="n"/>
      <c r="D44" s="40" t="n"/>
      <c r="E44" s="41" t="n"/>
      <c r="F44" s="40" t="n"/>
      <c r="G44" s="41" t="n"/>
      <c r="H44" s="40" t="n">
        <v>269756040</v>
      </c>
      <c r="I44" s="41" t="n">
        <v>269756040</v>
      </c>
    </row>
  </sheetData>
  <mergeCells count="6">
    <mergeCell ref="F3:G3"/>
    <mergeCell ref="B3:C3"/>
    <mergeCell ref="A3:A4"/>
    <mergeCell ref="A1:I2"/>
    <mergeCell ref="D3:E3"/>
    <mergeCell ref="H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Lucio Muñoz Adarme</dc:creator>
  <dcterms:created xmlns:dcterms="http://purl.org/dc/terms/" xmlns:xsi="http://www.w3.org/2001/XMLSchema-instance" xsi:type="dcterms:W3CDTF">2024-12-12T04:27:01Z</dcterms:created>
  <dcterms:modified xmlns:dcterms="http://purl.org/dc/terms/" xmlns:xsi="http://www.w3.org/2001/XMLSchema-instance" xsi:type="dcterms:W3CDTF">2026-09-21T20:10:01Z</dcterms:modified>
  <cp:lastModifiedBy>Lucio Muñoz Adarme</cp:lastModifiedBy>
</cp:coreProperties>
</file>