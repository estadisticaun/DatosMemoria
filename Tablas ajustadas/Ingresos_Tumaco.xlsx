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  <font>
      <name val="Arial"/>
      <family val="2"/>
      <color rgb="FF000000"/>
      <sz val="10"/>
    </font>
    <font>
      <name val="Aptos Narrow"/>
      <family val="2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rgb="FFFFFF00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64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3" borderId="6" pivotButton="0" quotePrefix="0" xfId="0"/>
    <xf numFmtId="164" fontId="5" fillId="3" borderId="6" pivotButton="0" quotePrefix="0" xfId="0"/>
    <xf numFmtId="164" fontId="5" fillId="3" borderId="7" pivotButton="0" quotePrefix="0" xfId="0"/>
    <xf numFmtId="0" fontId="6" fillId="4" borderId="6" pivotButton="0" quotePrefix="1" xfId="0"/>
    <xf numFmtId="164" fontId="6" fillId="4" borderId="6" pivotButton="0" quotePrefix="0" xfId="0"/>
    <xf numFmtId="164" fontId="6" fillId="4" borderId="7" pivotButton="0" quotePrefix="0" xfId="0"/>
    <xf numFmtId="0" fontId="3" fillId="5" borderId="4" pivotButton="0" quotePrefix="0" xfId="0"/>
    <xf numFmtId="164" fontId="3" fillId="5" borderId="4" pivotButton="0" quotePrefix="0" xfId="0"/>
    <xf numFmtId="164" fontId="3" fillId="5" borderId="1" pivotButton="0" quotePrefix="0" xfId="0"/>
    <xf numFmtId="0" fontId="3" fillId="0" borderId="8" pivotButton="0" quotePrefix="0" xfId="0"/>
    <xf numFmtId="164" fontId="3" fillId="0" borderId="2" pivotButton="0" quotePrefix="0" xfId="1"/>
    <xf numFmtId="164" fontId="3" fillId="0" borderId="3" pivotButton="0" quotePrefix="0" xfId="1"/>
    <xf numFmtId="0" fontId="0" fillId="0" borderId="9" pivotButton="0" quotePrefix="0" xfId="0"/>
    <xf numFmtId="164" fontId="0" fillId="0" borderId="10" pivotButton="0" quotePrefix="0" xfId="1"/>
    <xf numFmtId="164" fontId="0" fillId="0" borderId="11" pivotButton="0" quotePrefix="0" xfId="1"/>
    <xf numFmtId="0" fontId="0" fillId="0" borderId="9" applyAlignment="1" pivotButton="0" quotePrefix="0" xfId="0">
      <alignment horizontal="left" indent="3"/>
    </xf>
    <xf numFmtId="164" fontId="0" fillId="0" borderId="10" applyAlignment="1" pivotButton="0" quotePrefix="0" xfId="1">
      <alignment horizontal="left" indent="3"/>
    </xf>
    <xf numFmtId="164" fontId="0" fillId="0" borderId="11" applyAlignment="1" pivotButton="0" quotePrefix="0" xfId="1">
      <alignment horizontal="left" indent="3"/>
    </xf>
    <xf numFmtId="164" fontId="0" fillId="0" borderId="4" pivotButton="0" quotePrefix="0" xfId="1"/>
    <xf numFmtId="164" fontId="0" fillId="0" borderId="5" pivotButton="0" quotePrefix="0" xfId="1"/>
    <xf numFmtId="0" fontId="0" fillId="0" borderId="12" pivotButton="0" quotePrefix="0" xfId="0"/>
    <xf numFmtId="164" fontId="3" fillId="5" borderId="12" pivotButton="0" quotePrefix="0" xfId="0"/>
    <xf numFmtId="164" fontId="3" fillId="5" borderId="6" pivotButton="0" quotePrefix="0" xfId="1"/>
    <xf numFmtId="164" fontId="3" fillId="5" borderId="7" pivotButton="0" quotePrefix="0" xfId="1"/>
    <xf numFmtId="0" fontId="0" fillId="0" borderId="8" pivotButton="0" quotePrefix="0" xfId="0"/>
    <xf numFmtId="164" fontId="0" fillId="0" borderId="2" pivotButton="0" quotePrefix="0" xfId="1"/>
    <xf numFmtId="164" fontId="0" fillId="0" borderId="3" pivotButton="0" quotePrefix="0" xfId="1"/>
    <xf numFmtId="0" fontId="0" fillId="0" borderId="9" applyAlignment="1" pivotButton="0" quotePrefix="0" xfId="0">
      <alignment horizontal="left" vertical="center" wrapText="1" indent="3"/>
    </xf>
    <xf numFmtId="164" fontId="3" fillId="5" borderId="13" pivotButton="0" quotePrefix="0" xfId="0"/>
    <xf numFmtId="0" fontId="0" fillId="0" borderId="12" applyAlignment="1" pivotButton="0" quotePrefix="0" xfId="0">
      <alignment horizontal="left" indent="3"/>
    </xf>
    <xf numFmtId="164" fontId="0" fillId="0" borderId="4" applyAlignment="1" pivotButton="0" quotePrefix="0" xfId="1">
      <alignment horizontal="left" indent="3"/>
    </xf>
    <xf numFmtId="164" fontId="0" fillId="0" borderId="5" applyAlignment="1" pivotButton="0" quotePrefix="0" xfId="1">
      <alignment horizontal="left" indent="3"/>
    </xf>
    <xf numFmtId="0" fontId="6" fillId="4" borderId="13" pivotButton="0" quotePrefix="1" xfId="0"/>
    <xf numFmtId="164" fontId="6" fillId="4" borderId="6" pivotButton="0" quotePrefix="0" xfId="1"/>
    <xf numFmtId="164" fontId="6" fillId="4" borderId="7" pivotButton="0" quotePrefix="0" xfId="1"/>
    <xf numFmtId="0" fontId="3" fillId="5" borderId="12" pivotButton="0" quotePrefix="0" xfId="0"/>
    <xf numFmtId="164" fontId="3" fillId="5" borderId="4" pivotButton="0" quotePrefix="0" xfId="1"/>
    <xf numFmtId="164" fontId="3" fillId="5" borderId="5" pivotButton="0" quotePrefix="0" xfId="1"/>
    <xf numFmtId="0" fontId="7" fillId="0" borderId="9" pivotButton="0" quotePrefix="0" xfId="0"/>
    <xf numFmtId="164" fontId="3" fillId="0" borderId="14" pivotButton="0" quotePrefix="0" xfId="1"/>
    <xf numFmtId="0" fontId="8" fillId="0" borderId="0" pivotButton="0" quotePrefix="0" xfId="0"/>
    <xf numFmtId="0" fontId="0" fillId="0" borderId="0" applyAlignment="1" pivotButton="0" quotePrefix="0" xfId="0">
      <alignment horizontal="left" indent="3"/>
    </xf>
    <xf numFmtId="0" fontId="0" fillId="0" borderId="1" pivotButton="0" quotePrefix="0" xfId="0"/>
    <xf numFmtId="0" fontId="2" fillId="2" borderId="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5" fillId="6" borderId="6" pivotButton="0" quotePrefix="0" xfId="0"/>
    <xf numFmtId="164" fontId="5" fillId="6" borderId="7" pivotButton="0" quotePrefix="0" xfId="0"/>
    <xf numFmtId="164" fontId="6" fillId="6" borderId="6" pivotButton="0" quotePrefix="0" xfId="1"/>
    <xf numFmtId="164" fontId="6" fillId="6" borderId="7" pivotButton="0" quotePrefix="0" xfId="1"/>
    <xf numFmtId="164" fontId="3" fillId="6" borderId="4" pivotButton="0" quotePrefix="0" xfId="1"/>
    <xf numFmtId="164" fontId="3" fillId="6" borderId="5" pivotButton="0" quotePrefix="0" xfId="1"/>
    <xf numFmtId="164" fontId="3" fillId="6" borderId="2" pivotButton="0" quotePrefix="0" xfId="1"/>
    <xf numFmtId="164" fontId="0" fillId="6" borderId="10" pivotButton="0" quotePrefix="0" xfId="1"/>
    <xf numFmtId="164" fontId="0" fillId="6" borderId="11" pivotButton="0" quotePrefix="0" xfId="1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tabSelected="1" workbookViewId="0">
      <selection activeCell="C8" sqref="C8"/>
    </sheetView>
  </sheetViews>
  <sheetFormatPr baseColWidth="10" defaultColWidth="0" defaultRowHeight="15" zeroHeight="1" outlineLevelRow="1"/>
  <cols>
    <col width="42" customWidth="1" min="1" max="1"/>
    <col width="23" bestFit="1" customWidth="1" min="2" max="2"/>
    <col width="27.42578125" bestFit="1" customWidth="1" min="3" max="3"/>
    <col width="23" bestFit="1" customWidth="1" min="4" max="4"/>
    <col width="27.42578125" bestFit="1" customWidth="1" min="5" max="5"/>
    <col width="23" bestFit="1" customWidth="1" min="6" max="6"/>
    <col width="27.42578125" bestFit="1" customWidth="1" min="7" max="7"/>
    <col width="23" bestFit="1" customWidth="1" min="8" max="8"/>
    <col width="27.42578125" bestFit="1" customWidth="1" min="9" max="9"/>
    <col width="23" bestFit="1" customWidth="1" min="10" max="10"/>
    <col width="27.42578125" bestFit="1" customWidth="1" min="11" max="11"/>
    <col width="23" bestFit="1" customWidth="1" min="12" max="12"/>
    <col width="27.42578125" bestFit="1" customWidth="1" min="13" max="13"/>
    <col hidden="1" width="11.42578125" customWidth="1" min="30" max="16384"/>
  </cols>
  <sheetData>
    <row r="1">
      <c r="A1" s="2" t="inlineStr">
        <is>
          <t>CONSOLIDADO GESTION GENERAL SEDE TUMACO</t>
        </is>
      </c>
    </row>
    <row r="2">
      <c r="A2" s="50" t="n"/>
      <c r="B2" s="50" t="n"/>
      <c r="C2" s="50" t="n"/>
      <c r="D2" s="50" t="n"/>
      <c r="E2" s="50" t="n"/>
      <c r="F2" s="50" t="n"/>
      <c r="G2" s="50" t="n"/>
      <c r="H2" s="50" t="n"/>
      <c r="I2" s="50" t="n"/>
      <c r="J2" s="50" t="n"/>
      <c r="K2" s="50" t="n"/>
      <c r="L2" s="50" t="n"/>
      <c r="M2" s="50" t="n"/>
    </row>
    <row r="3">
      <c r="A3" s="51" t="inlineStr">
        <is>
          <t>CONCEPTO</t>
        </is>
      </c>
      <c r="B3" s="52" t="n">
        <v>2016</v>
      </c>
      <c r="C3" s="53" t="n"/>
      <c r="D3" s="52" t="n">
        <v>2017</v>
      </c>
      <c r="E3" s="53" t="n"/>
      <c r="F3" s="52" t="n">
        <v>2018</v>
      </c>
      <c r="G3" s="53" t="n"/>
      <c r="H3" s="52" t="n">
        <v>2019</v>
      </c>
      <c r="I3" s="53" t="n"/>
      <c r="J3" s="52" t="n">
        <v>2020</v>
      </c>
      <c r="K3" s="53" t="n"/>
      <c r="L3" s="52" t="n">
        <v>2021</v>
      </c>
      <c r="M3" s="53" t="n"/>
    </row>
    <row r="4">
      <c r="A4" s="54" t="n"/>
      <c r="B4" s="6" t="inlineStr">
        <is>
          <t>Aforo vigente</t>
        </is>
      </c>
      <c r="C4" s="7" t="inlineStr">
        <is>
          <t>Recaudo efectivo acumulado</t>
        </is>
      </c>
      <c r="D4" s="6" t="inlineStr">
        <is>
          <t>Aforo vigente</t>
        </is>
      </c>
      <c r="E4" s="7" t="inlineStr">
        <is>
          <t>Recaudo efectivo acumulado</t>
        </is>
      </c>
      <c r="F4" s="6" t="inlineStr">
        <is>
          <t>Aforo vigente</t>
        </is>
      </c>
      <c r="G4" s="7" t="inlineStr">
        <is>
          <t>Recaudo efectivo acumulado</t>
        </is>
      </c>
      <c r="H4" s="6" t="inlineStr">
        <is>
          <t>Aforo vigente</t>
        </is>
      </c>
      <c r="I4" s="7" t="inlineStr">
        <is>
          <t>Recaudo efectivo acumulado</t>
        </is>
      </c>
      <c r="J4" s="6" t="inlineStr">
        <is>
          <t>Aforo vigente</t>
        </is>
      </c>
      <c r="K4" s="7" t="inlineStr">
        <is>
          <t>Recaudo efectivo acumulado</t>
        </is>
      </c>
      <c r="L4" s="6" t="inlineStr">
        <is>
          <t>Aforo vigente</t>
        </is>
      </c>
      <c r="M4" s="7" t="inlineStr">
        <is>
          <t>Recaudo efectivo acumulado</t>
        </is>
      </c>
    </row>
    <row r="5" ht="18.75" customHeight="1">
      <c r="A5" s="8" t="inlineStr">
        <is>
          <t>GESTION GENERAL</t>
        </is>
      </c>
      <c r="B5" s="9">
        <f>+B6+B40</f>
        <v/>
      </c>
      <c r="C5" s="10">
        <f>+C6+C40</f>
        <v/>
      </c>
      <c r="D5" s="55">
        <f>+D6+D40</f>
        <v/>
      </c>
      <c r="E5" s="56">
        <f>+E6+E40</f>
        <v/>
      </c>
      <c r="F5" s="9">
        <f>+F6+F40</f>
        <v/>
      </c>
      <c r="G5" s="10">
        <f>+G6+G40</f>
        <v/>
      </c>
      <c r="H5" s="9">
        <f>+H6+H40</f>
        <v/>
      </c>
      <c r="I5" s="10">
        <f>+I6+I40</f>
        <v/>
      </c>
      <c r="J5" s="9">
        <f>+J6+J40</f>
        <v/>
      </c>
      <c r="K5" s="10">
        <f>+K6+K40</f>
        <v/>
      </c>
      <c r="L5" s="9">
        <f>+L6+L40</f>
        <v/>
      </c>
      <c r="M5" s="10">
        <f>+M6+M40</f>
        <v/>
      </c>
    </row>
    <row r="6" ht="15.75" customFormat="1" customHeight="1" s="48">
      <c r="A6" s="11" t="inlineStr">
        <is>
          <t>- NIVEL CENTRAL</t>
        </is>
      </c>
      <c r="B6" s="12">
        <f>+B7+B32+B35</f>
        <v/>
      </c>
      <c r="C6" s="13">
        <f>+C7+C32+C35</f>
        <v/>
      </c>
      <c r="D6" s="12">
        <f>+D7+D32+D35</f>
        <v/>
      </c>
      <c r="E6" s="13">
        <f>+E7+E32+E35</f>
        <v/>
      </c>
      <c r="F6" s="12">
        <f>+F7+F32+F35</f>
        <v/>
      </c>
      <c r="G6" s="13">
        <f>+G7+G32+G35</f>
        <v/>
      </c>
      <c r="H6" s="12">
        <f>+H7+H32+H35</f>
        <v/>
      </c>
      <c r="I6" s="13">
        <f>+I7+I32+I35</f>
        <v/>
      </c>
      <c r="J6" s="12">
        <f>+J7+J32+J35</f>
        <v/>
      </c>
      <c r="K6" s="13">
        <f>+K7+K32+K35</f>
        <v/>
      </c>
      <c r="L6" s="12">
        <f>+L7+L32+L35</f>
        <v/>
      </c>
      <c r="M6" s="13">
        <f>+M7+M32+M35</f>
        <v/>
      </c>
    </row>
    <row r="7">
      <c r="A7" s="14" t="inlineStr">
        <is>
          <t xml:space="preserve">I. Recursos propios </t>
        </is>
      </c>
      <c r="B7" s="15">
        <f>+B8+B25</f>
        <v/>
      </c>
      <c r="C7" s="16">
        <f>+C8+C25</f>
        <v/>
      </c>
      <c r="D7" s="15">
        <f>+D8+D25</f>
        <v/>
      </c>
      <c r="E7" s="16">
        <f>+E8+E25</f>
        <v/>
      </c>
      <c r="F7" s="15">
        <f>+F8+F25</f>
        <v/>
      </c>
      <c r="G7" s="16">
        <f>+G8+G25</f>
        <v/>
      </c>
      <c r="H7" s="15">
        <f>+H8+H25</f>
        <v/>
      </c>
      <c r="I7" s="16">
        <f>+I8+I25</f>
        <v/>
      </c>
      <c r="J7" s="15">
        <f>+J8+J25</f>
        <v/>
      </c>
      <c r="K7" s="16">
        <f>+K8+K25</f>
        <v/>
      </c>
      <c r="L7" s="15">
        <f>+L8+L25</f>
        <v/>
      </c>
      <c r="M7" s="16">
        <f>+M8+M25</f>
        <v/>
      </c>
    </row>
    <row r="8" ht="15.75" customHeight="1">
      <c r="A8" s="17" t="inlineStr">
        <is>
          <t>1. Ingresos corrientes</t>
        </is>
      </c>
      <c r="B8" s="18">
        <f>+B9+B15+B17+B21</f>
        <v/>
      </c>
      <c r="C8" s="19">
        <f>+C9+C15+C17+C21</f>
        <v/>
      </c>
      <c r="D8" s="18">
        <f>+D9+D15+D17+D21</f>
        <v/>
      </c>
      <c r="E8" s="19">
        <f>+E9+E15+E17+E21</f>
        <v/>
      </c>
      <c r="F8" s="18">
        <f>+F9+F15+F17+F21</f>
        <v/>
      </c>
      <c r="G8" s="19">
        <f>+G9+G15+G17+G21</f>
        <v/>
      </c>
      <c r="H8" s="18">
        <f>+H9+H15+H17+H21</f>
        <v/>
      </c>
      <c r="I8" s="19">
        <f>+I9+I15+I17+I21</f>
        <v/>
      </c>
      <c r="J8" s="18">
        <f>+J9+J15+J17+J21</f>
        <v/>
      </c>
      <c r="K8" s="19">
        <f>+K9+K15+K17+K21</f>
        <v/>
      </c>
      <c r="L8" s="18">
        <f>+L9+L15+L17+L21</f>
        <v/>
      </c>
      <c r="M8" s="19">
        <f>+M9+M15+M17+M21</f>
        <v/>
      </c>
    </row>
    <row r="9" ht="15.75" customHeight="1">
      <c r="A9" s="20" t="inlineStr">
        <is>
          <t>SERVICIOS ACADÉMICOS PREGRADO</t>
        </is>
      </c>
      <c r="B9" s="21">
        <f>SUM(B10:B14)</f>
        <v/>
      </c>
      <c r="C9" s="22">
        <f>SUM(C10:C14)</f>
        <v/>
      </c>
      <c r="D9" s="21">
        <f>SUM(D10:D14)</f>
        <v/>
      </c>
      <c r="E9" s="22">
        <f>SUM(E10:E14)</f>
        <v/>
      </c>
      <c r="F9" s="21">
        <f>SUM(F10:F14)</f>
        <v/>
      </c>
      <c r="G9" s="22">
        <f>SUM(G10:G14)</f>
        <v/>
      </c>
      <c r="H9" s="21">
        <f>SUM(H10:H14)</f>
        <v/>
      </c>
      <c r="I9" s="22">
        <f>SUM(I10:I14)</f>
        <v/>
      </c>
      <c r="J9" s="21">
        <f>SUM(J10:J14)</f>
        <v/>
      </c>
      <c r="K9" s="22">
        <f>SUM(K10:K14)</f>
        <v/>
      </c>
      <c r="L9" s="21">
        <f>SUM(L10:L14)</f>
        <v/>
      </c>
      <c r="M9" s="22">
        <f>SUM(M10:M14)</f>
        <v/>
      </c>
    </row>
    <row r="10" outlineLevel="1" ht="15.75" customHeight="1">
      <c r="A10" s="23" t="inlineStr">
        <is>
          <t>Inscripciones pregrado</t>
        </is>
      </c>
      <c r="B10" s="24" t="n">
        <v>28719860</v>
      </c>
      <c r="C10" s="25" t="n">
        <v>28719860</v>
      </c>
      <c r="D10" s="24" t="n">
        <v>30386000</v>
      </c>
      <c r="E10" s="25" t="n">
        <v>30386000</v>
      </c>
      <c r="F10" s="24" t="n">
        <v>31662212</v>
      </c>
      <c r="G10" s="25" t="n">
        <v>31702212</v>
      </c>
      <c r="H10" s="24" t="n">
        <v>32707065</v>
      </c>
      <c r="I10" s="25" t="n">
        <v>32707065</v>
      </c>
      <c r="J10" s="24" t="n">
        <v>32707065</v>
      </c>
      <c r="K10" s="25" t="n">
        <v>24103416</v>
      </c>
      <c r="L10" s="24" t="n">
        <v>32707065</v>
      </c>
      <c r="M10" s="25" t="n">
        <v>18359736</v>
      </c>
    </row>
    <row r="11" outlineLevel="1" ht="15.75" customHeight="1">
      <c r="A11" s="23" t="inlineStr">
        <is>
          <t>Matrículas pregrado</t>
        </is>
      </c>
      <c r="B11" s="24" t="n">
        <v>717390037</v>
      </c>
      <c r="C11" s="25" t="n">
        <v>726604282</v>
      </c>
      <c r="D11" s="24" t="n">
        <v>48150000</v>
      </c>
      <c r="E11" s="25" t="n">
        <v>29892955</v>
      </c>
      <c r="F11" s="24" t="n">
        <v>58932000</v>
      </c>
      <c r="G11" s="25" t="n">
        <v>15402736</v>
      </c>
      <c r="H11" s="24" t="n">
        <v>40866300</v>
      </c>
      <c r="I11" s="25" t="n">
        <v>46456918</v>
      </c>
      <c r="J11" s="24" t="n">
        <v>46607580</v>
      </c>
      <c r="K11" s="25" t="n">
        <v>7443724</v>
      </c>
      <c r="L11" s="24" t="n">
        <v>66454622</v>
      </c>
      <c r="M11" s="25" t="n">
        <v>28223550</v>
      </c>
    </row>
    <row r="12" outlineLevel="1" ht="15.75" customHeight="1">
      <c r="A12" s="23" t="inlineStr">
        <is>
          <t>Bienestar matricula pregrado</t>
        </is>
      </c>
      <c r="B12" s="24" t="n">
        <v>1350000</v>
      </c>
      <c r="C12" s="25" t="n">
        <v>3447107</v>
      </c>
      <c r="D12" s="24" t="n">
        <v>4815000</v>
      </c>
      <c r="E12" s="25" t="n">
        <v>5061849</v>
      </c>
      <c r="F12" s="24" t="n">
        <v>5893200</v>
      </c>
      <c r="G12" s="25" t="n">
        <v>2517499</v>
      </c>
      <c r="H12" s="24" t="n">
        <v>4807800</v>
      </c>
      <c r="I12" s="25" t="n">
        <v>4310385</v>
      </c>
      <c r="J12" s="24" t="n">
        <v>5178100</v>
      </c>
      <c r="K12" s="25" t="n">
        <v>969484</v>
      </c>
      <c r="L12" s="24" t="n">
        <v>6765876</v>
      </c>
      <c r="M12" s="25" t="n">
        <v>2244774</v>
      </c>
    </row>
    <row r="13" outlineLevel="1" ht="15.75" customHeight="1">
      <c r="A13" s="23" t="inlineStr">
        <is>
          <t>PROGRAMA SER PILO PAGA</t>
        </is>
      </c>
      <c r="B13" s="24" t="n"/>
      <c r="C13" s="25" t="n"/>
      <c r="D13" s="24" t="n"/>
      <c r="E13" s="25" t="n"/>
      <c r="F13" s="24" t="n"/>
      <c r="G13" s="25" t="n"/>
      <c r="H13" s="24" t="n">
        <v>1696049717</v>
      </c>
      <c r="I13" s="25" t="n">
        <v>1696049717</v>
      </c>
      <c r="J13" s="24" t="n">
        <v>2194079215</v>
      </c>
      <c r="K13" s="25" t="n">
        <v>2094079215</v>
      </c>
      <c r="L13" s="24" t="n">
        <v>1901355479</v>
      </c>
      <c r="M13" s="25" t="n">
        <v>1451355479</v>
      </c>
    </row>
    <row r="14" outlineLevel="1" ht="15.75" customHeight="1">
      <c r="A14" s="23" t="inlineStr">
        <is>
          <t xml:space="preserve">Otros ingresos </t>
        </is>
      </c>
      <c r="B14" s="24" t="n">
        <v>0</v>
      </c>
      <c r="C14" s="25" t="n">
        <v>8961693</v>
      </c>
      <c r="D14" s="24" t="n">
        <v>878949525</v>
      </c>
      <c r="E14" s="25" t="n">
        <v>876403237</v>
      </c>
      <c r="F14" s="24" t="n">
        <v>1375782072</v>
      </c>
      <c r="G14" s="25" t="n">
        <v>1200092322</v>
      </c>
      <c r="H14" s="24" t="n">
        <v>2403900</v>
      </c>
      <c r="I14" s="25" t="n">
        <v>16138444</v>
      </c>
      <c r="J14" s="24" t="n">
        <v>35266400</v>
      </c>
      <c r="K14" s="25" t="n">
        <v>2701262</v>
      </c>
      <c r="L14" s="24" t="n">
        <v>49909041</v>
      </c>
      <c r="M14" s="25" t="n">
        <v>5954046</v>
      </c>
    </row>
    <row r="15" ht="15.75" customHeight="1">
      <c r="A15" s="20" t="inlineStr">
        <is>
          <t>APORTE OTRAS ENTIDADES</t>
        </is>
      </c>
      <c r="B15" s="21">
        <f>SUM(B16:B16)</f>
        <v/>
      </c>
      <c r="C15" s="22">
        <f>SUM(C16:C16)</f>
        <v/>
      </c>
      <c r="D15" s="21">
        <f>SUM(D16:D16)</f>
        <v/>
      </c>
      <c r="E15" s="22">
        <f>SUM(E16:E16)</f>
        <v/>
      </c>
      <c r="F15" s="21">
        <f>SUM(F16:F16)</f>
        <v/>
      </c>
      <c r="G15" s="22">
        <f>SUM(G16:G16)</f>
        <v/>
      </c>
      <c r="H15" s="21" t="n">
        <v>0</v>
      </c>
      <c r="I15" s="22" t="n">
        <v>0</v>
      </c>
      <c r="J15" s="21" t="n">
        <v>0</v>
      </c>
      <c r="K15" s="22" t="n">
        <v>0</v>
      </c>
      <c r="L15" s="21" t="n">
        <v>0</v>
      </c>
      <c r="M15" s="22" t="n">
        <v>0</v>
      </c>
    </row>
    <row r="16" outlineLevel="1" ht="15.75" customHeight="1">
      <c r="A16" s="23" t="inlineStr">
        <is>
          <t>Otros aportes entidades publicas y privadas</t>
        </is>
      </c>
      <c r="B16" s="24" t="n">
        <v>150000000</v>
      </c>
      <c r="C16" s="25" t="n">
        <v>149400000</v>
      </c>
      <c r="D16" s="24" t="n">
        <v>300000000</v>
      </c>
      <c r="E16" s="25" t="n">
        <v>300000000</v>
      </c>
      <c r="F16" s="24" t="n">
        <v>100000000</v>
      </c>
      <c r="G16" s="25" t="n">
        <v>300000000</v>
      </c>
      <c r="H16" s="24" t="n"/>
      <c r="I16" s="25" t="n"/>
      <c r="J16" s="24" t="n"/>
      <c r="K16" s="25" t="n"/>
      <c r="L16" s="24" t="n"/>
      <c r="M16" s="25" t="n"/>
    </row>
    <row r="17" ht="15.75" customHeight="1">
      <c r="A17" s="20" t="inlineStr">
        <is>
          <t>OTROS INGRESOS</t>
        </is>
      </c>
      <c r="B17" s="21">
        <f>SUM(B18:B20)</f>
        <v/>
      </c>
      <c r="C17" s="22">
        <f>SUM(C18:C20)</f>
        <v/>
      </c>
      <c r="D17" s="21">
        <f>SUM(D18:D20)</f>
        <v/>
      </c>
      <c r="E17" s="22">
        <f>SUM(E18:E20)</f>
        <v/>
      </c>
      <c r="F17" s="21">
        <f>SUM(F18:F20)</f>
        <v/>
      </c>
      <c r="G17" s="22">
        <f>SUM(G18:G20)</f>
        <v/>
      </c>
      <c r="H17" s="21">
        <f>SUM(H18:H20)</f>
        <v/>
      </c>
      <c r="I17" s="22">
        <f>SUM(I18:I20)</f>
        <v/>
      </c>
      <c r="J17" s="21">
        <f>SUM(J18:J20)</f>
        <v/>
      </c>
      <c r="K17" s="22">
        <f>SUM(K18:K20)</f>
        <v/>
      </c>
      <c r="L17" s="21">
        <f>SUM(L18:L20)</f>
        <v/>
      </c>
      <c r="M17" s="22">
        <f>SUM(M18:M20)</f>
        <v/>
      </c>
    </row>
    <row r="18" outlineLevel="1" ht="15.75" customHeight="1">
      <c r="A18" s="23" t="inlineStr">
        <is>
          <t>Devolución iva</t>
        </is>
      </c>
      <c r="B18" s="24" t="n">
        <v>66219160</v>
      </c>
      <c r="C18" s="25" t="n">
        <v>83623830</v>
      </c>
      <c r="D18" s="24" t="n">
        <v>168313684</v>
      </c>
      <c r="E18" s="25" t="n">
        <v>294422899</v>
      </c>
      <c r="F18" s="24" t="n">
        <v>180000000</v>
      </c>
      <c r="G18" s="25" t="n">
        <v>120235435</v>
      </c>
      <c r="H18" s="24" t="n">
        <v>374821808</v>
      </c>
      <c r="I18" s="25" t="n">
        <v>452642028</v>
      </c>
      <c r="J18" s="24" t="n">
        <v>150000000</v>
      </c>
      <c r="K18" s="25" t="n">
        <v>66066455</v>
      </c>
      <c r="L18" s="24" t="n">
        <v>75000000</v>
      </c>
      <c r="M18" s="25" t="n">
        <v>118276073</v>
      </c>
    </row>
    <row r="19" outlineLevel="1" ht="15.75" customHeight="1">
      <c r="A19" s="23" t="inlineStr">
        <is>
          <t>Recuperaciones</t>
        </is>
      </c>
      <c r="B19" s="24" t="n">
        <v>119887327</v>
      </c>
      <c r="C19" s="25" t="n">
        <v>119887327</v>
      </c>
      <c r="D19" s="24" t="n">
        <v>32156041</v>
      </c>
      <c r="E19" s="25" t="n">
        <v>14436041</v>
      </c>
      <c r="F19" s="24" t="n"/>
      <c r="G19" s="25" t="n"/>
      <c r="H19" s="24" t="n"/>
      <c r="I19" s="25" t="n"/>
      <c r="J19" s="24" t="n"/>
      <c r="K19" s="25" t="n"/>
      <c r="L19" s="24" t="n"/>
      <c r="M19" s="25" t="n"/>
    </row>
    <row r="20" outlineLevel="1" ht="15.75" customHeight="1">
      <c r="A20" s="23" t="inlineStr">
        <is>
          <t>Otros ingresos</t>
        </is>
      </c>
      <c r="B20" s="24" t="n"/>
      <c r="C20" s="25" t="n"/>
      <c r="D20" s="24" t="n">
        <v>0</v>
      </c>
      <c r="E20" s="25" t="n">
        <v>3564447</v>
      </c>
      <c r="F20" s="24" t="n"/>
      <c r="G20" s="25" t="n"/>
      <c r="H20" s="24" t="n">
        <v>0</v>
      </c>
      <c r="I20" s="25" t="n">
        <v>3808</v>
      </c>
      <c r="J20" s="24" t="n">
        <v>0</v>
      </c>
      <c r="K20" s="25" t="n">
        <v>573738</v>
      </c>
      <c r="L20" s="24" t="n">
        <v>0</v>
      </c>
      <c r="M20" s="25" t="n">
        <v>21000</v>
      </c>
    </row>
    <row r="21" ht="15.75" customHeight="1">
      <c r="A21" s="20" t="inlineStr">
        <is>
          <t>TRANSFERENCIAS OPERACIONES INTERNAS SIN CONTRAPRESTACIÓN</t>
        </is>
      </c>
      <c r="B21" s="21" t="n">
        <v>0</v>
      </c>
      <c r="C21" s="22" t="n">
        <v>0</v>
      </c>
      <c r="D21" s="21">
        <f>SUM(D22:D24)</f>
        <v/>
      </c>
      <c r="E21" s="22">
        <f>SUM(E22:E24)</f>
        <v/>
      </c>
      <c r="F21" s="21">
        <f>SUM(F22:F24)</f>
        <v/>
      </c>
      <c r="G21" s="22">
        <f>SUM(G22:G24)</f>
        <v/>
      </c>
      <c r="H21" s="21">
        <f>SUM(H22:H24)</f>
        <v/>
      </c>
      <c r="I21" s="22">
        <f>SUM(I22:I24)</f>
        <v/>
      </c>
      <c r="J21" s="21" t="n">
        <v>0</v>
      </c>
      <c r="K21" s="22" t="n">
        <v>0</v>
      </c>
      <c r="L21" s="21">
        <f>SUM(L22:L24)</f>
        <v/>
      </c>
      <c r="M21" s="22">
        <f>SUM(M22:M24)</f>
        <v/>
      </c>
    </row>
    <row r="22" outlineLevel="1" ht="15.75" customHeight="1">
      <c r="A22" s="23" t="inlineStr">
        <is>
          <t>Transferencias o.i. sin contraprestación</t>
        </is>
      </c>
      <c r="B22" s="21" t="n"/>
      <c r="C22" s="22" t="n"/>
      <c r="D22" s="21" t="n">
        <v>26351639</v>
      </c>
      <c r="E22" s="22" t="n">
        <v>0</v>
      </c>
      <c r="F22" s="21" t="n">
        <v>199087420</v>
      </c>
      <c r="G22" s="22" t="n">
        <v>198311051</v>
      </c>
      <c r="H22" s="21" t="n"/>
      <c r="I22" s="22" t="n"/>
      <c r="J22" s="21" t="n"/>
      <c r="K22" s="22" t="n"/>
      <c r="L22" s="21" t="n">
        <v>13636340</v>
      </c>
      <c r="M22" s="22" t="n">
        <v>0</v>
      </c>
    </row>
    <row r="23" outlineLevel="1" ht="15.75" customHeight="1">
      <c r="A23" s="23" t="inlineStr">
        <is>
          <t>Transferencias o.i. costos indirectos</t>
        </is>
      </c>
      <c r="B23" s="21" t="n"/>
      <c r="C23" s="22" t="n"/>
      <c r="D23" s="21" t="n">
        <v>28117077</v>
      </c>
      <c r="E23" s="22" t="n">
        <v>2726794</v>
      </c>
      <c r="F23" s="21" t="n">
        <v>24044900</v>
      </c>
      <c r="G23" s="22" t="n">
        <v>24821269</v>
      </c>
      <c r="H23" s="21" t="n"/>
      <c r="I23" s="22" t="n"/>
      <c r="J23" s="21" t="n"/>
      <c r="K23" s="22" t="n"/>
      <c r="L23" s="21" t="n"/>
      <c r="M23" s="22" t="n"/>
    </row>
    <row r="24" outlineLevel="1" ht="15.75" customHeight="1">
      <c r="A24" s="23" t="inlineStr">
        <is>
          <t>Transferencias o.i  fondo de investigación - ugi</t>
        </is>
      </c>
      <c r="B24" s="26" t="n"/>
      <c r="C24" s="27" t="n"/>
      <c r="D24" s="26" t="n"/>
      <c r="E24" s="27" t="n"/>
      <c r="F24" s="26" t="n">
        <v>25000000</v>
      </c>
      <c r="G24" s="27" t="n">
        <v>25000000</v>
      </c>
      <c r="H24" s="26" t="n">
        <v>9900880</v>
      </c>
      <c r="I24" s="27" t="n">
        <v>9900880</v>
      </c>
      <c r="J24" s="26" t="n"/>
      <c r="K24" s="27" t="n"/>
      <c r="L24" s="26" t="n">
        <v>83719420</v>
      </c>
      <c r="M24" s="27" t="n">
        <v>49099319</v>
      </c>
    </row>
    <row r="25" ht="15.75" customHeight="1">
      <c r="A25" s="17" t="inlineStr">
        <is>
          <t>2. Recursos de capital</t>
        </is>
      </c>
      <c r="B25" s="18">
        <f>+B26+B28+B31</f>
        <v/>
      </c>
      <c r="C25" s="19">
        <f>+C26+C28+C31</f>
        <v/>
      </c>
      <c r="D25" s="18">
        <f>+D26+D28+D31</f>
        <v/>
      </c>
      <c r="E25" s="19">
        <f>+E26+E28+E31</f>
        <v/>
      </c>
      <c r="F25" s="18">
        <f>+F26+F28+F31</f>
        <v/>
      </c>
      <c r="G25" s="19">
        <f>+G26+G28+G31</f>
        <v/>
      </c>
      <c r="H25" s="18">
        <f>+H26+H28+H31</f>
        <v/>
      </c>
      <c r="I25" s="19">
        <f>+I26+I28+I31</f>
        <v/>
      </c>
      <c r="J25" s="18">
        <f>+J26+J28+J31</f>
        <v/>
      </c>
      <c r="K25" s="19">
        <f>+K26+K28+K31</f>
        <v/>
      </c>
      <c r="L25" s="18">
        <f>+L26+L28+L31</f>
        <v/>
      </c>
      <c r="M25" s="19">
        <f>+M26+M28+M31</f>
        <v/>
      </c>
    </row>
    <row r="26" ht="15.75" customHeight="1">
      <c r="A26" s="20" t="inlineStr">
        <is>
          <t>RENDIMIENTOS FINANCIEROS</t>
        </is>
      </c>
      <c r="B26" s="21">
        <f>SUM(B27:B27)</f>
        <v/>
      </c>
      <c r="C26" s="22">
        <f>SUM(C27:C27)</f>
        <v/>
      </c>
      <c r="D26" s="21">
        <f>SUM(D27:D27)</f>
        <v/>
      </c>
      <c r="E26" s="22">
        <f>SUM(E27:E27)</f>
        <v/>
      </c>
      <c r="F26" s="21">
        <f>SUM(F27:F27)</f>
        <v/>
      </c>
      <c r="G26" s="22">
        <f>SUM(G27:G27)</f>
        <v/>
      </c>
      <c r="H26" s="21">
        <f>SUM(H27:H27)</f>
        <v/>
      </c>
      <c r="I26" s="22">
        <f>SUM(I27:I27)</f>
        <v/>
      </c>
      <c r="J26" s="21">
        <f>SUM(J27:J27)</f>
        <v/>
      </c>
      <c r="K26" s="22">
        <f>SUM(K27:K27)</f>
        <v/>
      </c>
      <c r="L26" s="21">
        <f>SUM(L27:L27)</f>
        <v/>
      </c>
      <c r="M26" s="22">
        <f>SUM(M27:M27)</f>
        <v/>
      </c>
    </row>
    <row r="27" outlineLevel="1" ht="15.75" customFormat="1" customHeight="1" s="49">
      <c r="A27" s="23" t="inlineStr">
        <is>
          <t>Rendimientos  entidades financieras</t>
        </is>
      </c>
      <c r="B27" s="24" t="n">
        <v>72436948</v>
      </c>
      <c r="C27" s="25" t="n">
        <v>124383018</v>
      </c>
      <c r="D27" s="24" t="n">
        <v>47202897</v>
      </c>
      <c r="E27" s="25" t="n">
        <v>245511417</v>
      </c>
      <c r="F27" s="24" t="n">
        <v>30000000</v>
      </c>
      <c r="G27" s="25" t="n">
        <v>470784532</v>
      </c>
      <c r="H27" s="24" t="n">
        <v>20000000</v>
      </c>
      <c r="I27" s="25" t="n">
        <v>651972457</v>
      </c>
      <c r="J27" s="24" t="n">
        <v>6500000</v>
      </c>
      <c r="K27" s="25" t="n">
        <v>891166756</v>
      </c>
      <c r="L27" s="24" t="n">
        <v>20000000</v>
      </c>
      <c r="M27" s="25" t="n">
        <v>475760377</v>
      </c>
    </row>
    <row r="28" ht="15.75" customHeight="1">
      <c r="A28" s="20" t="inlineStr">
        <is>
          <t>EXCEDENTES FINANCIEROS</t>
        </is>
      </c>
      <c r="B28" s="21">
        <f>SUM(B29:B30)</f>
        <v/>
      </c>
      <c r="C28" s="22">
        <f>SUM(C29:C30)</f>
        <v/>
      </c>
      <c r="D28" s="21">
        <f>SUM(D29:D30)</f>
        <v/>
      </c>
      <c r="E28" s="22">
        <f>SUM(E29:E30)</f>
        <v/>
      </c>
      <c r="F28" s="21">
        <f>SUM(F29:F30)</f>
        <v/>
      </c>
      <c r="G28" s="22">
        <f>SUM(G29:G30)</f>
        <v/>
      </c>
      <c r="H28" s="21">
        <f>SUM(H29:H30)</f>
        <v/>
      </c>
      <c r="I28" s="22">
        <f>SUM(I29:I30)</f>
        <v/>
      </c>
      <c r="J28" s="21">
        <f>SUM(J29:J30)</f>
        <v/>
      </c>
      <c r="K28" s="22">
        <f>SUM(K29:K30)</f>
        <v/>
      </c>
      <c r="L28" s="21">
        <f>SUM(L29:L30)</f>
        <v/>
      </c>
      <c r="M28" s="22">
        <f>SUM(M29:M30)</f>
        <v/>
      </c>
    </row>
    <row r="29" outlineLevel="1" ht="15.75" customFormat="1" customHeight="1" s="49">
      <c r="A29" s="23" t="inlineStr">
        <is>
          <t>Excedentes financieros -  gestión general</t>
        </is>
      </c>
      <c r="B29" s="24" t="n">
        <v>126110941</v>
      </c>
      <c r="C29" s="25" t="n">
        <v>126110941</v>
      </c>
      <c r="D29" s="24" t="n">
        <v>5845009568</v>
      </c>
      <c r="E29" s="25" t="n">
        <v>5845009568</v>
      </c>
      <c r="F29" s="24" t="n">
        <v>666556823</v>
      </c>
      <c r="G29" s="25" t="n">
        <v>666556823</v>
      </c>
      <c r="H29" s="24" t="n">
        <v>510155245</v>
      </c>
      <c r="I29" s="25" t="n">
        <v>510155245</v>
      </c>
      <c r="J29" s="24" t="n">
        <v>21290824033</v>
      </c>
      <c r="K29" s="25" t="n">
        <v>21277858774</v>
      </c>
      <c r="L29" s="24" t="n">
        <v>12797994762</v>
      </c>
      <c r="M29" s="25" t="n">
        <v>12797994762</v>
      </c>
    </row>
    <row r="30" outlineLevel="1" ht="15.75" customHeight="1">
      <c r="A30" s="23" t="inlineStr">
        <is>
          <t>Otros ingresos</t>
        </is>
      </c>
      <c r="B30" s="24" t="n">
        <v>3928572</v>
      </c>
      <c r="C30" s="25" t="n">
        <v>0</v>
      </c>
      <c r="D30" s="24" t="n">
        <v>386696565</v>
      </c>
      <c r="E30" s="25" t="n">
        <v>386696565</v>
      </c>
      <c r="F30" s="24" t="n">
        <v>8200000</v>
      </c>
      <c r="G30" s="25" t="n">
        <v>8200000</v>
      </c>
      <c r="H30" s="24" t="n">
        <v>3087131699</v>
      </c>
      <c r="I30" s="25" t="n">
        <v>3087131699</v>
      </c>
      <c r="J30" s="24" t="n">
        <v>0</v>
      </c>
      <c r="K30" s="25" t="n">
        <v>0</v>
      </c>
      <c r="L30" s="24" t="n">
        <v>366000000</v>
      </c>
      <c r="M30" s="25" t="n">
        <v>366000000</v>
      </c>
    </row>
    <row r="31" ht="15.75" customHeight="1">
      <c r="A31" s="28" t="inlineStr">
        <is>
          <t>DONACIONES EN DINERO</t>
        </is>
      </c>
      <c r="B31" s="26" t="n">
        <v>22223309</v>
      </c>
      <c r="C31" s="27" t="n">
        <v>22223309</v>
      </c>
      <c r="D31" s="26" t="n">
        <v>875416531</v>
      </c>
      <c r="E31" s="27" t="n">
        <v>0</v>
      </c>
      <c r="F31" s="26" t="n">
        <v>6792085860</v>
      </c>
      <c r="G31" s="27" t="n">
        <v>6792085860</v>
      </c>
      <c r="H31" s="26" t="n">
        <v>630669685</v>
      </c>
      <c r="I31" s="27" t="n">
        <v>630669685</v>
      </c>
      <c r="J31" s="26" t="n">
        <v>630669685</v>
      </c>
      <c r="K31" s="27" t="n">
        <v>630669685</v>
      </c>
      <c r="L31" s="26" t="n"/>
      <c r="M31" s="27" t="n"/>
    </row>
    <row r="32" ht="15.75" customHeight="1">
      <c r="A32" s="29" t="inlineStr">
        <is>
          <t xml:space="preserve">II. Contribuciones parafiscales </t>
        </is>
      </c>
      <c r="B32" s="30">
        <f>SUM(B33:B33)</f>
        <v/>
      </c>
      <c r="C32" s="31">
        <f>SUM(C33:C33)</f>
        <v/>
      </c>
      <c r="D32" s="30">
        <f>SUM(D33:D33)</f>
        <v/>
      </c>
      <c r="E32" s="31">
        <f>SUM(E33:E33)</f>
        <v/>
      </c>
      <c r="F32" s="30">
        <f>SUM(F33:F33)</f>
        <v/>
      </c>
      <c r="G32" s="31">
        <f>SUM(G33:G33)</f>
        <v/>
      </c>
      <c r="H32" s="30">
        <f>SUM(H33:H33)</f>
        <v/>
      </c>
      <c r="I32" s="31">
        <f>SUM(I33:I33)</f>
        <v/>
      </c>
      <c r="J32" s="30">
        <f>SUM(J33:J33)</f>
        <v/>
      </c>
      <c r="K32" s="31">
        <f>SUM(K33:K33)</f>
        <v/>
      </c>
      <c r="L32" s="30">
        <f>SUM(L33:L33)</f>
        <v/>
      </c>
      <c r="M32" s="31">
        <f>SUM(M33:M33)</f>
        <v/>
      </c>
    </row>
    <row r="33" ht="15.75" customHeight="1">
      <c r="A33" s="32" t="inlineStr">
        <is>
          <t>ESTAMPILLAS</t>
        </is>
      </c>
      <c r="B33" s="33">
        <f>SUM(B34:B34)</f>
        <v/>
      </c>
      <c r="C33" s="34">
        <f>SUM(C34:C34)</f>
        <v/>
      </c>
      <c r="D33" s="33">
        <f>SUM(D34:D34)</f>
        <v/>
      </c>
      <c r="E33" s="34">
        <f>SUM(E34:E34)</f>
        <v/>
      </c>
      <c r="F33" s="33">
        <f>SUM(F34:F34)</f>
        <v/>
      </c>
      <c r="G33" s="34">
        <f>SUM(G34:G34)</f>
        <v/>
      </c>
      <c r="H33" s="33">
        <f>SUM(H34:H34)</f>
        <v/>
      </c>
      <c r="I33" s="34">
        <f>SUM(I34:I34)</f>
        <v/>
      </c>
      <c r="J33" s="33">
        <f>SUM(J34:J34)</f>
        <v/>
      </c>
      <c r="K33" s="34">
        <f>SUM(K34:K34)</f>
        <v/>
      </c>
      <c r="L33" s="33">
        <f>SUM(L34:L34)</f>
        <v/>
      </c>
      <c r="M33" s="34">
        <f>SUM(M34:M34)</f>
        <v/>
      </c>
    </row>
    <row r="34" outlineLevel="1" ht="15.75" customHeight="1">
      <c r="A34" s="35" t="inlineStr">
        <is>
          <t>Estampilla pro universidad nacional de colombia</t>
        </is>
      </c>
      <c r="B34" s="24" t="n">
        <v>5800000000</v>
      </c>
      <c r="C34" s="25" t="n">
        <v>4000000000</v>
      </c>
      <c r="D34" s="24" t="n">
        <v>5000000000</v>
      </c>
      <c r="E34" s="25" t="n">
        <v>5000000000</v>
      </c>
      <c r="F34" s="24" t="n">
        <v>12328777860</v>
      </c>
      <c r="G34" s="25" t="n">
        <v>12328777860</v>
      </c>
      <c r="H34" s="24" t="n">
        <v>3004655819</v>
      </c>
      <c r="I34" s="25" t="n">
        <v>3004655819</v>
      </c>
      <c r="J34" s="24" t="n">
        <v>0</v>
      </c>
      <c r="K34" s="25" t="n">
        <v>0</v>
      </c>
      <c r="L34" s="24" t="n">
        <v>0</v>
      </c>
      <c r="M34" s="25" t="n">
        <v>0</v>
      </c>
    </row>
    <row r="35" ht="15.75" customHeight="1">
      <c r="A35" s="36" t="inlineStr">
        <is>
          <t>III. Aportes Nación</t>
        </is>
      </c>
      <c r="B35" s="30">
        <f>+B36+B38</f>
        <v/>
      </c>
      <c r="C35" s="31">
        <f>+C36+C38</f>
        <v/>
      </c>
      <c r="D35" s="30">
        <f>+D36+D38</f>
        <v/>
      </c>
      <c r="E35" s="31">
        <f>+E36+E38</f>
        <v/>
      </c>
      <c r="F35" s="30">
        <f>+F36+F38</f>
        <v/>
      </c>
      <c r="G35" s="31">
        <f>+G36+G38</f>
        <v/>
      </c>
      <c r="H35" s="30">
        <f>+H36+H38</f>
        <v/>
      </c>
      <c r="I35" s="31">
        <f>+I36+I38</f>
        <v/>
      </c>
      <c r="J35" s="30">
        <f>+J36+J38</f>
        <v/>
      </c>
      <c r="K35" s="31">
        <f>+K36+K38</f>
        <v/>
      </c>
      <c r="L35" s="30">
        <f>+L36+L38</f>
        <v/>
      </c>
      <c r="M35" s="31">
        <f>+M36+M38</f>
        <v/>
      </c>
    </row>
    <row r="36" ht="15.75" customHeight="1">
      <c r="A36" s="32" t="inlineStr">
        <is>
          <t>FUNCIONAMIENTO</t>
        </is>
      </c>
      <c r="B36" s="33">
        <f>SUM(B37:B37)</f>
        <v/>
      </c>
      <c r="C36" s="34">
        <f>SUM(C37:C37)</f>
        <v/>
      </c>
      <c r="D36" s="33" t="n"/>
      <c r="E36" s="34" t="n"/>
      <c r="F36" s="33">
        <f>SUM(F37:F37)</f>
        <v/>
      </c>
      <c r="G36" s="34">
        <f>SUM(G37:G37)</f>
        <v/>
      </c>
      <c r="H36" s="33">
        <f>SUM(H37:H37)</f>
        <v/>
      </c>
      <c r="I36" s="34">
        <f>SUM(I37:I37)</f>
        <v/>
      </c>
      <c r="J36" s="33">
        <f>SUM(J37:J37)</f>
        <v/>
      </c>
      <c r="K36" s="34">
        <f>SUM(K37:K37)</f>
        <v/>
      </c>
      <c r="L36" s="33">
        <f>SUM(L37:L37)</f>
        <v/>
      </c>
      <c r="M36" s="34">
        <f>SUM(M37:M37)</f>
        <v/>
      </c>
    </row>
    <row r="37" outlineLevel="1" ht="15.75" customFormat="1" customHeight="1" s="49">
      <c r="A37" s="23" t="inlineStr">
        <is>
          <t>Gastos de personal</t>
        </is>
      </c>
      <c r="B37" s="24" t="n">
        <v>0</v>
      </c>
      <c r="C37" s="25" t="n">
        <v>0</v>
      </c>
      <c r="D37" s="24" t="n"/>
      <c r="E37" s="25" t="n"/>
      <c r="F37" s="24" t="n">
        <v>212874888</v>
      </c>
      <c r="G37" s="25" t="n">
        <v>212874888</v>
      </c>
      <c r="H37" s="24" t="n">
        <v>276571720</v>
      </c>
      <c r="I37" s="25" t="n">
        <v>276571720</v>
      </c>
      <c r="J37" s="24" t="n">
        <v>211090655</v>
      </c>
      <c r="K37" s="25" t="n">
        <v>211090655</v>
      </c>
      <c r="L37" s="24" t="n">
        <v>352172484</v>
      </c>
      <c r="M37" s="25" t="n">
        <v>352172484</v>
      </c>
    </row>
    <row r="38" ht="15.75" customHeight="1">
      <c r="A38" s="20" t="inlineStr">
        <is>
          <t>INVERSIÓN</t>
        </is>
      </c>
      <c r="B38" s="21" t="n">
        <v>3791484583</v>
      </c>
      <c r="C38" s="22" t="n">
        <v>3791484583</v>
      </c>
      <c r="D38" s="21" t="n">
        <v>3971148317</v>
      </c>
      <c r="E38" s="22" t="n">
        <v>3971148317</v>
      </c>
      <c r="F38" s="21" t="n">
        <v>738874583</v>
      </c>
      <c r="G38" s="22" t="n">
        <v>738874583</v>
      </c>
      <c r="H38" s="21" t="n">
        <v>1359019257</v>
      </c>
      <c r="I38" s="22" t="n">
        <v>1359019257</v>
      </c>
      <c r="J38" s="21" t="n">
        <v>3191223834</v>
      </c>
      <c r="K38" s="22" t="n">
        <v>3186005748</v>
      </c>
      <c r="L38" s="21" t="n">
        <v>2984274710</v>
      </c>
      <c r="M38" s="22" t="n">
        <v>2984274710</v>
      </c>
    </row>
    <row r="39" outlineLevel="1" ht="15.75" customFormat="1" customHeight="1" s="49">
      <c r="A39" s="37" t="inlineStr">
        <is>
          <t>Inversión</t>
        </is>
      </c>
      <c r="B39" s="38" t="n"/>
      <c r="C39" s="39" t="n"/>
      <c r="D39" s="38" t="n"/>
      <c r="E39" s="39" t="n"/>
      <c r="F39" s="38" t="n"/>
      <c r="G39" s="39" t="n"/>
      <c r="H39" s="38" t="n"/>
      <c r="I39" s="39" t="n"/>
      <c r="J39" s="38" t="n"/>
      <c r="K39" s="39" t="n"/>
      <c r="L39" s="38" t="n"/>
      <c r="M39" s="39" t="n"/>
    </row>
    <row r="40" ht="15.75" customHeight="1">
      <c r="A40" s="40" t="inlineStr">
        <is>
          <t>- FONDOS ESPECIALES</t>
        </is>
      </c>
      <c r="B40" s="41">
        <f>+B41</f>
        <v/>
      </c>
      <c r="C40" s="42">
        <f>+C41</f>
        <v/>
      </c>
      <c r="D40" s="57">
        <f>+D41</f>
        <v/>
      </c>
      <c r="E40" s="58">
        <f>+E41</f>
        <v/>
      </c>
      <c r="F40" s="41">
        <f>+F41</f>
        <v/>
      </c>
      <c r="G40" s="42">
        <f>+G41</f>
        <v/>
      </c>
      <c r="H40" s="41">
        <f>+H41</f>
        <v/>
      </c>
      <c r="I40" s="42">
        <f>+I41</f>
        <v/>
      </c>
      <c r="J40" s="41">
        <f>+J41</f>
        <v/>
      </c>
      <c r="K40" s="42">
        <f>+K41</f>
        <v/>
      </c>
      <c r="L40" s="41">
        <f>+L41</f>
        <v/>
      </c>
      <c r="M40" s="42">
        <f>+M41</f>
        <v/>
      </c>
    </row>
    <row r="41" ht="15.75" customHeight="1">
      <c r="A41" s="43" t="inlineStr">
        <is>
          <t xml:space="preserve">I. Recursos propios </t>
        </is>
      </c>
      <c r="B41" s="44">
        <f>+B42+B63</f>
        <v/>
      </c>
      <c r="C41" s="45">
        <f>+C42+C63</f>
        <v/>
      </c>
      <c r="D41" s="59">
        <f>+D42+D63</f>
        <v/>
      </c>
      <c r="E41" s="60">
        <f>+E42+E63</f>
        <v/>
      </c>
      <c r="F41" s="44">
        <f>+F42+F63</f>
        <v/>
      </c>
      <c r="G41" s="45">
        <f>+G42+G63</f>
        <v/>
      </c>
      <c r="H41" s="44">
        <f>+H42+H63</f>
        <v/>
      </c>
      <c r="I41" s="45">
        <f>+I42+I63</f>
        <v/>
      </c>
      <c r="J41" s="44">
        <f>+J42+J63</f>
        <v/>
      </c>
      <c r="K41" s="45">
        <f>+K42+K63</f>
        <v/>
      </c>
      <c r="L41" s="44">
        <f>+L42+L63</f>
        <v/>
      </c>
      <c r="M41" s="45">
        <f>+M42+M63</f>
        <v/>
      </c>
    </row>
    <row r="42" ht="15.75" customHeight="1">
      <c r="A42" s="17" t="inlineStr">
        <is>
          <t>1. Ingresos corrientes</t>
        </is>
      </c>
      <c r="B42" s="18">
        <f>+B43+B45+B47+B52+B54+B56+B62</f>
        <v/>
      </c>
      <c r="C42" s="19">
        <f>+C43+C45+C47+C52+C54+C56+C62</f>
        <v/>
      </c>
      <c r="D42" s="61">
        <f>+D43+D45+D47+D52+D54+D56+D62</f>
        <v/>
      </c>
      <c r="E42" s="61">
        <f>+E43+E45+E47+E52+E54+E56+E62</f>
        <v/>
      </c>
      <c r="F42" s="18">
        <f>+F43+F45+F47+F52+F54+F56+F62</f>
        <v/>
      </c>
      <c r="G42" s="18">
        <f>+G43+G45+G47+G52+G54+G56+G62</f>
        <v/>
      </c>
      <c r="H42" s="18">
        <f>+H43+H45+H47+H52+H54+H56+H62</f>
        <v/>
      </c>
      <c r="I42" s="18">
        <f>+I43+I45+I47+I52+I54+I56+I62</f>
        <v/>
      </c>
      <c r="J42" s="18">
        <f>+J43+J45+J47+J52+J54+J56+J62</f>
        <v/>
      </c>
      <c r="K42" s="18">
        <f>+K43+K45+K47+K52+K54+K56+K62</f>
        <v/>
      </c>
      <c r="L42" s="18">
        <f>+L43+L45+L47+L52+L54+L56+L62</f>
        <v/>
      </c>
      <c r="M42" s="18">
        <f>+M43+M45+M47+M52+M54+M56+M62</f>
        <v/>
      </c>
    </row>
    <row r="43" ht="15.75" customHeight="1">
      <c r="A43" s="20" t="inlineStr">
        <is>
          <t>SERVICIOS ACADÉMICOS PREGRADO</t>
        </is>
      </c>
      <c r="B43" s="21">
        <f>SUM(B44:B44)</f>
        <v/>
      </c>
      <c r="C43" s="22">
        <f>SUM(C44:C44)</f>
        <v/>
      </c>
      <c r="D43" s="21">
        <f>SUM(D44:D44)</f>
        <v/>
      </c>
      <c r="E43" s="22">
        <f>SUM(E44:E44)</f>
        <v/>
      </c>
      <c r="F43" s="21" t="n"/>
      <c r="G43" s="22" t="n"/>
      <c r="H43" s="21" t="n"/>
      <c r="I43" s="22" t="n"/>
      <c r="J43" s="21" t="n"/>
      <c r="K43" s="22" t="n"/>
      <c r="L43" s="21">
        <f>SUM(L44:L44)</f>
        <v/>
      </c>
      <c r="M43" s="22">
        <f>SUM(M44:M44)</f>
        <v/>
      </c>
    </row>
    <row r="44" outlineLevel="1" ht="15.75" customFormat="1" customHeight="1" s="49">
      <c r="A44" s="23" t="inlineStr">
        <is>
          <t>Derechos de grado - pregrado</t>
        </is>
      </c>
      <c r="B44" s="24" t="n">
        <v>37033544</v>
      </c>
      <c r="C44" s="25" t="n">
        <v>37033544</v>
      </c>
      <c r="D44" s="24" t="n">
        <v>29626715</v>
      </c>
      <c r="E44" s="25" t="n">
        <v>29626715</v>
      </c>
      <c r="F44" s="24" t="n"/>
      <c r="G44" s="25" t="n"/>
      <c r="H44" s="24" t="n"/>
      <c r="I44" s="25" t="n"/>
      <c r="J44" s="24" t="n"/>
      <c r="K44" s="25" t="n"/>
      <c r="L44" s="24" t="n">
        <v>3648640</v>
      </c>
      <c r="M44" s="25" t="n">
        <v>0</v>
      </c>
    </row>
    <row r="45" ht="15.75" customHeight="1">
      <c r="A45" s="20" t="inlineStr">
        <is>
          <t>SERVICIOS ACADÉMICOS POSGRADO</t>
        </is>
      </c>
      <c r="B45" s="21">
        <f>SUM(B46:B46)</f>
        <v/>
      </c>
      <c r="C45" s="22">
        <f>SUM(C46:C46)</f>
        <v/>
      </c>
      <c r="D45" s="21">
        <f>SUM(D46:D46)</f>
        <v/>
      </c>
      <c r="E45" s="22">
        <f>SUM(E46:E46)</f>
        <v/>
      </c>
      <c r="F45" s="21">
        <f>SUM(F46:F46)</f>
        <v/>
      </c>
      <c r="G45" s="22">
        <f>SUM(G46:G46)</f>
        <v/>
      </c>
      <c r="H45" s="21">
        <f>SUM(H46:H46)</f>
        <v/>
      </c>
      <c r="I45" s="22">
        <f>SUM(I46:I46)</f>
        <v/>
      </c>
      <c r="J45" s="21">
        <f>SUM(J46:J46)</f>
        <v/>
      </c>
      <c r="K45" s="22">
        <f>SUM(K46:K46)</f>
        <v/>
      </c>
      <c r="L45" s="21" t="n"/>
      <c r="M45" s="22" t="n"/>
    </row>
    <row r="46" outlineLevel="1" ht="15.75" customFormat="1" customHeight="1" s="49">
      <c r="A46" s="23" t="inlineStr">
        <is>
          <t>Derechos de grado posgrados</t>
        </is>
      </c>
      <c r="B46" s="24" t="n">
        <v>38936971</v>
      </c>
      <c r="C46" s="25" t="n">
        <v>38936971</v>
      </c>
      <c r="D46" s="24" t="n">
        <v>39256400</v>
      </c>
      <c r="E46" s="25" t="n">
        <v>39256400</v>
      </c>
      <c r="F46" s="24" t="n">
        <v>31249680</v>
      </c>
      <c r="G46" s="25" t="n">
        <v>31249680</v>
      </c>
      <c r="H46" s="24" t="n">
        <v>33257139</v>
      </c>
      <c r="I46" s="25" t="n">
        <v>33257139</v>
      </c>
      <c r="J46" s="24" t="n">
        <v>35112120</v>
      </c>
      <c r="K46" s="25" t="n">
        <v>35112120</v>
      </c>
      <c r="L46" s="24" t="n"/>
      <c r="M46" s="25" t="n"/>
    </row>
    <row r="47" ht="15.75" customHeight="1">
      <c r="A47" s="20" t="inlineStr">
        <is>
          <t>SERVICIOS DE EXTENSIÓN</t>
        </is>
      </c>
      <c r="B47" s="21">
        <f>SUM(B48:B51)</f>
        <v/>
      </c>
      <c r="C47" s="22">
        <f>SUM(C48:C51)</f>
        <v/>
      </c>
      <c r="D47" s="21">
        <f>SUM(D48:D51)</f>
        <v/>
      </c>
      <c r="E47" s="22">
        <f>SUM(E48:E51)</f>
        <v/>
      </c>
      <c r="F47" s="21">
        <f>SUM(F48:F51)</f>
        <v/>
      </c>
      <c r="G47" s="22">
        <f>SUM(G48:G51)</f>
        <v/>
      </c>
      <c r="H47" s="21">
        <f>SUM(H48:H51)</f>
        <v/>
      </c>
      <c r="I47" s="22">
        <f>SUM(I48:I51)</f>
        <v/>
      </c>
      <c r="J47" s="21">
        <f>SUM(J48:J51)</f>
        <v/>
      </c>
      <c r="K47" s="22">
        <f>SUM(K48:K51)</f>
        <v/>
      </c>
      <c r="L47" s="21">
        <f>SUM(L48:L51)</f>
        <v/>
      </c>
      <c r="M47" s="22" t="n">
        <v>0</v>
      </c>
    </row>
    <row r="48" outlineLevel="1" ht="15.75" customFormat="1" customHeight="1" s="49">
      <c r="A48" s="23" t="inlineStr">
        <is>
          <t>Consultorías y asesorías</t>
        </is>
      </c>
      <c r="B48" s="24" t="n">
        <v>3952317728</v>
      </c>
      <c r="C48" s="25" t="n">
        <v>2384093044</v>
      </c>
      <c r="D48" s="24" t="n">
        <v>2029775766</v>
      </c>
      <c r="E48" s="25" t="n">
        <v>1206093376</v>
      </c>
      <c r="F48" s="24" t="n">
        <v>521116307</v>
      </c>
      <c r="G48" s="25" t="n">
        <v>521116307</v>
      </c>
      <c r="H48" s="24" t="n">
        <v>20000000</v>
      </c>
      <c r="I48" s="25" t="n">
        <v>14000000</v>
      </c>
      <c r="J48" s="24" t="n">
        <v>100000000</v>
      </c>
      <c r="K48" s="25" t="n">
        <v>0</v>
      </c>
      <c r="L48" s="24" t="n">
        <v>50000000</v>
      </c>
      <c r="M48" s="25" t="n"/>
    </row>
    <row r="49" outlineLevel="1" ht="15.75" customFormat="1" customHeight="1" s="49">
      <c r="A49" s="23" t="inlineStr">
        <is>
          <t>Diplomados</t>
        </is>
      </c>
      <c r="B49" s="24" t="n">
        <v>50000000</v>
      </c>
      <c r="C49" s="25" t="n">
        <v>0</v>
      </c>
      <c r="D49" s="24" t="n"/>
      <c r="E49" s="25" t="n"/>
      <c r="F49" s="24" t="n"/>
      <c r="G49" s="25" t="n"/>
      <c r="H49" s="24" t="n"/>
      <c r="I49" s="25" t="n"/>
      <c r="J49" s="24" t="n"/>
      <c r="K49" s="25" t="n"/>
      <c r="L49" s="24" t="n"/>
      <c r="M49" s="25" t="n"/>
    </row>
    <row r="50" outlineLevel="1" ht="15.75" customFormat="1" customHeight="1" s="49">
      <c r="A50" s="23" t="inlineStr">
        <is>
          <t>Extensión solidaria</t>
        </is>
      </c>
      <c r="B50" s="24" t="n">
        <v>30000000</v>
      </c>
      <c r="C50" s="25" t="n">
        <v>0</v>
      </c>
      <c r="D50" s="24" t="n"/>
      <c r="E50" s="25" t="n"/>
      <c r="F50" s="24" t="n">
        <v>107850000</v>
      </c>
      <c r="G50" s="25" t="n">
        <v>107850000</v>
      </c>
      <c r="H50" s="24" t="n">
        <v>30000000</v>
      </c>
      <c r="I50" s="25" t="n">
        <v>30000000</v>
      </c>
      <c r="J50" s="24" t="n">
        <v>60000000</v>
      </c>
      <c r="K50" s="25" t="n">
        <v>0</v>
      </c>
      <c r="L50" s="24" t="n">
        <v>30000000</v>
      </c>
      <c r="M50" s="25" t="n"/>
    </row>
    <row r="51" outlineLevel="1" ht="15.75" customFormat="1" customHeight="1" s="49">
      <c r="A51" s="23" t="inlineStr">
        <is>
          <t>Cursos de extensión</t>
        </is>
      </c>
      <c r="B51" s="24" t="n"/>
      <c r="C51" s="25" t="n"/>
      <c r="D51" s="24" t="n"/>
      <c r="E51" s="25" t="n"/>
      <c r="F51" s="24" t="n">
        <v>794540499</v>
      </c>
      <c r="G51" s="25" t="n">
        <v>794540500</v>
      </c>
      <c r="H51" s="24" t="n"/>
      <c r="I51" s="25" t="n"/>
      <c r="J51" s="24" t="n">
        <v>70000000</v>
      </c>
      <c r="K51" s="25" t="n">
        <v>0</v>
      </c>
      <c r="L51" s="24" t="n">
        <v>35000000</v>
      </c>
      <c r="M51" s="25" t="n"/>
    </row>
    <row r="52" ht="15.75" customHeight="1">
      <c r="A52" s="20" t="inlineStr">
        <is>
          <t>SERVICIOS DE INVESTIGACION</t>
        </is>
      </c>
      <c r="B52" s="21" t="n"/>
      <c r="C52" s="22" t="n"/>
      <c r="D52" s="21" t="n"/>
      <c r="E52" s="22" t="n"/>
      <c r="F52" s="21">
        <f>SUM(F53:F53)</f>
        <v/>
      </c>
      <c r="G52" s="22" t="n">
        <v>0</v>
      </c>
      <c r="H52" s="21">
        <f>SUM(H53:H53)</f>
        <v/>
      </c>
      <c r="I52" s="22" t="n">
        <v>0</v>
      </c>
      <c r="J52" s="21">
        <f>SUM(J53:J53)</f>
        <v/>
      </c>
      <c r="K52" s="22" t="n">
        <v>379999766</v>
      </c>
      <c r="L52" s="21">
        <f>SUM(L53:L53)</f>
        <v/>
      </c>
      <c r="M52" s="22" t="n">
        <v>20000000</v>
      </c>
    </row>
    <row r="53" outlineLevel="1" ht="15.75" customFormat="1" customHeight="1" s="49">
      <c r="A53" s="35" t="inlineStr">
        <is>
          <t>Convenios y/o contratos de investigación</t>
        </is>
      </c>
      <c r="B53" s="24" t="n"/>
      <c r="C53" s="25" t="n"/>
      <c r="D53" s="24" t="n"/>
      <c r="E53" s="25" t="n"/>
      <c r="F53" s="24" t="n">
        <v>50000000</v>
      </c>
      <c r="G53" s="25" t="n"/>
      <c r="H53" s="24" t="n">
        <v>150000000</v>
      </c>
      <c r="I53" s="25" t="n"/>
      <c r="J53" s="24" t="n">
        <v>350000000</v>
      </c>
      <c r="K53" s="25" t="n"/>
      <c r="L53" s="24" t="n">
        <v>281363634</v>
      </c>
      <c r="M53" s="25" t="n"/>
    </row>
    <row r="54" ht="15.75" customHeight="1">
      <c r="A54" s="46" t="inlineStr">
        <is>
          <t>TRANSFERENCIAS ENTRE FONDOS SIN CONTRAPRESTACIÓN</t>
        </is>
      </c>
      <c r="B54" s="21" t="n"/>
      <c r="C54" s="22" t="n"/>
      <c r="D54" s="21" t="n"/>
      <c r="E54" s="22" t="n"/>
      <c r="F54" s="21" t="n"/>
      <c r="G54" s="22" t="n"/>
      <c r="H54" s="21">
        <f>SUM(H55:H55)</f>
        <v/>
      </c>
      <c r="I54" s="22">
        <f>SUM(I55:I55)</f>
        <v/>
      </c>
      <c r="J54" s="21" t="n"/>
      <c r="K54" s="22" t="n"/>
      <c r="L54" s="21" t="n"/>
      <c r="M54" s="22" t="n"/>
    </row>
    <row r="55" outlineLevel="1" ht="15.75" customFormat="1" customHeight="1" s="49">
      <c r="A55" s="35" t="inlineStr">
        <is>
          <t>Transferencias o.i. sin contraprestación</t>
        </is>
      </c>
      <c r="B55" s="24" t="n"/>
      <c r="C55" s="25" t="n"/>
      <c r="D55" s="24" t="n"/>
      <c r="E55" s="25" t="n"/>
      <c r="F55" s="24" t="n"/>
      <c r="G55" s="25" t="n"/>
      <c r="H55" s="24" t="n">
        <v>30000000</v>
      </c>
      <c r="I55" s="25" t="n">
        <v>30000000</v>
      </c>
      <c r="J55" s="24" t="n"/>
      <c r="K55" s="25" t="n"/>
      <c r="L55" s="24" t="n"/>
      <c r="M55" s="25" t="n"/>
    </row>
    <row r="56" ht="15.75" customHeight="1">
      <c r="A56" s="20" t="inlineStr">
        <is>
          <t>TRANSFERENCIAS EXTENSION</t>
        </is>
      </c>
      <c r="B56" s="21" t="n"/>
      <c r="C56" s="22" t="n"/>
      <c r="D56" s="62">
        <f>SUM(D57:D61)</f>
        <v/>
      </c>
      <c r="E56" s="63">
        <f>SUM(E57:E61)</f>
        <v/>
      </c>
      <c r="F56" s="21">
        <f>SUM(F57:F61)</f>
        <v/>
      </c>
      <c r="G56" s="22">
        <f>SUM(G57:G61)</f>
        <v/>
      </c>
      <c r="H56" s="21">
        <f>SUM(H57:H61)</f>
        <v/>
      </c>
      <c r="I56" s="22">
        <f>SUM(I57:I61)</f>
        <v/>
      </c>
      <c r="J56" s="21">
        <f>SUM(J57:J61)</f>
        <v/>
      </c>
      <c r="K56" s="22">
        <f>SUM(K57:K61)</f>
        <v/>
      </c>
      <c r="L56" s="21" t="n"/>
      <c r="M56" s="22" t="n"/>
    </row>
    <row r="57" outlineLevel="1" ht="15.75" customFormat="1" customHeight="1" s="49">
      <c r="A57" s="35" t="inlineStr">
        <is>
          <t>Transferencias o.i. excedentes por actividades generadoras de recursos</t>
        </is>
      </c>
      <c r="B57" s="24" t="n"/>
      <c r="C57" s="25" t="n"/>
      <c r="D57" s="24" t="n">
        <v>328104664</v>
      </c>
      <c r="E57" s="25" t="n">
        <v>45672927</v>
      </c>
      <c r="F57" s="24" t="n">
        <v>327329444</v>
      </c>
      <c r="G57" s="25" t="n">
        <v>233712569</v>
      </c>
      <c r="H57" s="24" t="n">
        <v>123244799</v>
      </c>
      <c r="I57" s="25" t="n">
        <v>123244799</v>
      </c>
      <c r="J57" s="24" t="n">
        <v>50000000</v>
      </c>
      <c r="K57" s="25" t="n">
        <v>50000000</v>
      </c>
      <c r="L57" s="24" t="n"/>
      <c r="M57" s="25" t="n"/>
    </row>
    <row r="58" outlineLevel="1" ht="15.75" customFormat="1" customHeight="1" s="49">
      <c r="A58" s="35" t="inlineStr">
        <is>
          <t>Transferencias o.i. costos indirectos</t>
        </is>
      </c>
      <c r="B58" s="24" t="n"/>
      <c r="C58" s="25" t="n"/>
      <c r="D58" s="24" t="n"/>
      <c r="E58" s="25" t="n"/>
      <c r="F58" s="24" t="n">
        <v>49293000</v>
      </c>
      <c r="G58" s="25" t="n">
        <v>24821269</v>
      </c>
      <c r="H58" s="24" t="n"/>
      <c r="I58" s="25" t="n"/>
      <c r="J58" s="24" t="n"/>
      <c r="K58" s="25" t="n"/>
      <c r="L58" s="24" t="n"/>
      <c r="M58" s="25" t="n"/>
    </row>
    <row r="59" outlineLevel="1" ht="15.75" customHeight="1">
      <c r="A59" s="35" t="inlineStr">
        <is>
          <t>Transferencias o.i. dirección académica</t>
        </is>
      </c>
      <c r="B59" s="21" t="n"/>
      <c r="C59" s="22" t="n"/>
      <c r="D59" s="21" t="n"/>
      <c r="E59" s="22" t="n"/>
      <c r="F59" s="21" t="n">
        <v>189588400</v>
      </c>
      <c r="G59" s="22" t="n">
        <v>198311051</v>
      </c>
      <c r="H59" s="21" t="n"/>
      <c r="I59" s="22" t="n"/>
      <c r="J59" s="21" t="n"/>
      <c r="K59" s="22" t="n"/>
      <c r="L59" s="21" t="n"/>
      <c r="M59" s="22" t="n"/>
    </row>
    <row r="60" outlineLevel="1" ht="15.75" customHeight="1">
      <c r="A60" s="35" t="inlineStr">
        <is>
          <t>Transferencias o.i. dirección nacional de extensión</t>
        </is>
      </c>
      <c r="B60" s="21" t="n"/>
      <c r="C60" s="22" t="n"/>
      <c r="D60" s="21" t="n"/>
      <c r="E60" s="22" t="n"/>
      <c r="F60" s="21" t="n">
        <v>18958900</v>
      </c>
      <c r="G60" s="22" t="n">
        <v>19831105</v>
      </c>
      <c r="H60" s="21" t="n"/>
      <c r="I60" s="22" t="n"/>
      <c r="J60" s="21" t="n"/>
      <c r="K60" s="22" t="n"/>
      <c r="L60" s="21" t="n"/>
      <c r="M60" s="22" t="n"/>
    </row>
    <row r="61" outlineLevel="1" ht="15.75" customHeight="1">
      <c r="A61" s="35" t="inlineStr">
        <is>
          <t>Transferencias o.i. fondo de riesgos para la extensión</t>
        </is>
      </c>
      <c r="B61" s="21" t="n"/>
      <c r="C61" s="22" t="n"/>
      <c r="D61" s="21" t="n"/>
      <c r="E61" s="22" t="n"/>
      <c r="F61" s="21" t="n"/>
      <c r="G61" s="22" t="n"/>
      <c r="H61" s="21" t="n"/>
      <c r="I61" s="22" t="n"/>
      <c r="J61" s="21" t="n">
        <v>29237733</v>
      </c>
      <c r="K61" s="22" t="n">
        <v>58475466</v>
      </c>
      <c r="L61" s="21" t="n"/>
      <c r="M61" s="22" t="n"/>
    </row>
    <row r="62" ht="15.75" customHeight="1">
      <c r="A62" s="28" t="inlineStr">
        <is>
          <t>OTROS INGRESOS</t>
        </is>
      </c>
      <c r="B62" s="21" t="n"/>
      <c r="C62" s="22" t="n"/>
      <c r="D62" s="21" t="n"/>
      <c r="E62" s="22" t="n"/>
      <c r="F62" s="21" t="n">
        <v>2400000000</v>
      </c>
      <c r="G62" s="22" t="n">
        <v>2400000000</v>
      </c>
      <c r="H62" s="21" t="n"/>
      <c r="I62" s="22" t="n"/>
      <c r="J62" s="21" t="n"/>
      <c r="K62" s="22" t="n"/>
      <c r="L62" s="21" t="n"/>
      <c r="M62" s="22" t="n"/>
    </row>
    <row r="63" ht="15.75" customHeight="1">
      <c r="A63" s="17" t="inlineStr">
        <is>
          <t>2. Recursos de capital</t>
        </is>
      </c>
      <c r="B63" s="18">
        <f>+B64+B66</f>
        <v/>
      </c>
      <c r="C63" s="47">
        <f>+C64+C66</f>
        <v/>
      </c>
      <c r="D63" s="18">
        <f>+D64+D66</f>
        <v/>
      </c>
      <c r="E63" s="18">
        <f>+E64+E66</f>
        <v/>
      </c>
      <c r="F63" s="18">
        <f>+F64+F66</f>
        <v/>
      </c>
      <c r="G63" s="18">
        <f>+G64+G66</f>
        <v/>
      </c>
      <c r="H63" s="18">
        <f>+H64+H66</f>
        <v/>
      </c>
      <c r="I63" s="18">
        <f>+I64+I66</f>
        <v/>
      </c>
      <c r="J63" s="18">
        <f>+J64+J66</f>
        <v/>
      </c>
      <c r="K63" s="18">
        <f>+K64+K66</f>
        <v/>
      </c>
      <c r="L63" s="18">
        <f>+L64+L66</f>
        <v/>
      </c>
      <c r="M63" s="18">
        <f>+M64+M66</f>
        <v/>
      </c>
    </row>
    <row r="64" ht="15.75" customHeight="1">
      <c r="A64" s="20" t="inlineStr">
        <is>
          <t>RENDIMIENTOS FINANCIEROS</t>
        </is>
      </c>
      <c r="B64" s="21">
        <f>SUM(B65:B65)</f>
        <v/>
      </c>
      <c r="C64" s="22">
        <f>SUM(C65:C65)</f>
        <v/>
      </c>
      <c r="D64" s="21">
        <f>SUM(D65:D65)</f>
        <v/>
      </c>
      <c r="E64" s="22">
        <f>SUM(E65:E65)</f>
        <v/>
      </c>
      <c r="F64" s="21">
        <f>SUM(F65:F65)</f>
        <v/>
      </c>
      <c r="G64" s="22">
        <f>SUM(G65:G65)</f>
        <v/>
      </c>
      <c r="H64" s="21">
        <f>SUM(H65:H65)</f>
        <v/>
      </c>
      <c r="I64" s="22">
        <f>SUM(I65:I65)</f>
        <v/>
      </c>
      <c r="J64" s="21">
        <f>SUM(J65:J65)</f>
        <v/>
      </c>
      <c r="K64" s="22">
        <f>SUM(K65:K65)</f>
        <v/>
      </c>
      <c r="L64" s="21">
        <f>SUM(L65:L65)</f>
        <v/>
      </c>
      <c r="M64" s="22">
        <f>SUM(M65:M65)</f>
        <v/>
      </c>
    </row>
    <row r="65" outlineLevel="1" ht="15.75" customFormat="1" customHeight="1" s="49">
      <c r="A65" s="35" t="inlineStr">
        <is>
          <t>Rendimientos entidades financieras</t>
        </is>
      </c>
      <c r="B65" s="24" t="n">
        <v>0</v>
      </c>
      <c r="C65" s="25" t="n">
        <v>26012932</v>
      </c>
      <c r="D65" s="24" t="n">
        <v>28246648</v>
      </c>
      <c r="E65" s="25" t="n">
        <v>38764504</v>
      </c>
      <c r="F65" s="24" t="n">
        <v>32000000</v>
      </c>
      <c r="G65" s="25" t="n">
        <v>55862457</v>
      </c>
      <c r="H65" s="24" t="n">
        <v>11336593</v>
      </c>
      <c r="I65" s="25" t="n">
        <v>10874080</v>
      </c>
      <c r="J65" s="24" t="n">
        <v>750000</v>
      </c>
      <c r="K65" s="25" t="n">
        <v>10652047</v>
      </c>
      <c r="L65" s="24" t="n">
        <v>700000</v>
      </c>
      <c r="M65" s="25" t="n">
        <v>5628601</v>
      </c>
    </row>
    <row r="66" ht="15.75" customHeight="1">
      <c r="A66" s="20" t="inlineStr">
        <is>
          <t>EXCEDENTES FINANCIEROS</t>
        </is>
      </c>
      <c r="B66" s="21">
        <f>SUM(B67:B69)</f>
        <v/>
      </c>
      <c r="C66" s="22">
        <f>SUM(C67:C69)</f>
        <v/>
      </c>
      <c r="D66" s="21">
        <f>SUM(D67:D69)</f>
        <v/>
      </c>
      <c r="E66" s="22">
        <f>SUM(E67:E69)</f>
        <v/>
      </c>
      <c r="F66" s="21">
        <f>SUM(F67:F69)</f>
        <v/>
      </c>
      <c r="G66" s="22">
        <f>SUM(G67:G69)</f>
        <v/>
      </c>
      <c r="H66" s="21">
        <f>SUM(H67:H69)</f>
        <v/>
      </c>
      <c r="I66" s="22">
        <f>SUM(I67:I69)</f>
        <v/>
      </c>
      <c r="J66" s="21">
        <f>SUM(J67:J69)</f>
        <v/>
      </c>
      <c r="K66" s="22">
        <f>SUM(K67:K69)</f>
        <v/>
      </c>
      <c r="L66" s="21">
        <f>SUM(L67:L69)</f>
        <v/>
      </c>
      <c r="M66" s="22">
        <f>SUM(M67:M69)</f>
        <v/>
      </c>
    </row>
    <row r="67" outlineLevel="1" ht="15.75" customHeight="1">
      <c r="A67" s="23" t="inlineStr">
        <is>
          <t>Excedente financiero - destinación regulada</t>
        </is>
      </c>
      <c r="B67" s="24" t="n">
        <v>75481319</v>
      </c>
      <c r="C67" s="25" t="n">
        <v>75481319</v>
      </c>
      <c r="D67" s="24" t="n">
        <v>47033544</v>
      </c>
      <c r="E67" s="25" t="n">
        <v>47033544</v>
      </c>
      <c r="F67" s="24" t="n">
        <v>70546400</v>
      </c>
      <c r="G67" s="25" t="n">
        <v>70546400</v>
      </c>
      <c r="H67" s="24" t="n">
        <v>334027056</v>
      </c>
      <c r="I67" s="25" t="n">
        <v>334027056</v>
      </c>
      <c r="J67" s="24" t="n">
        <v>104491205</v>
      </c>
      <c r="K67" s="25" t="n">
        <v>104491205</v>
      </c>
      <c r="L67" s="24" t="n">
        <v>141538509</v>
      </c>
      <c r="M67" s="25" t="n">
        <v>141538509</v>
      </c>
    </row>
    <row r="68" outlineLevel="1" ht="15.75" customHeight="1">
      <c r="A68" s="23" t="inlineStr">
        <is>
          <t>Saldos de apropiación de convenios y contratos en ejecución</t>
        </is>
      </c>
      <c r="B68" s="24" t="n">
        <v>40454048</v>
      </c>
      <c r="C68" s="25" t="n">
        <v>40454048</v>
      </c>
      <c r="D68" s="24" t="n">
        <v>555030347</v>
      </c>
      <c r="E68" s="25" t="n">
        <v>555030347</v>
      </c>
      <c r="F68" s="24" t="n">
        <v>556519032</v>
      </c>
      <c r="G68" s="25" t="n">
        <v>556519032</v>
      </c>
      <c r="H68" s="24" t="n">
        <v>1400171699</v>
      </c>
      <c r="I68" s="25" t="n">
        <v>1400171699</v>
      </c>
      <c r="J68" s="24" t="n">
        <v>15062987</v>
      </c>
      <c r="K68" s="25" t="n">
        <v>14114987</v>
      </c>
      <c r="L68" s="24" t="n">
        <v>240297715</v>
      </c>
      <c r="M68" s="25" t="n">
        <v>240297715</v>
      </c>
    </row>
    <row r="69" outlineLevel="1" ht="15.75" customHeight="1">
      <c r="A69" s="37" t="inlineStr">
        <is>
          <t>Excedente del  fondo  nacional de  extensión solidaria y  del fondo de riesgos para la extensión</t>
        </is>
      </c>
      <c r="B69" s="38" t="n">
        <v>10000000</v>
      </c>
      <c r="C69" s="39" t="n">
        <v>10000000</v>
      </c>
      <c r="D69" s="38" t="n">
        <v>15000000</v>
      </c>
      <c r="E69" s="39" t="n">
        <v>15000000</v>
      </c>
      <c r="F69" s="38" t="n">
        <v>44005000</v>
      </c>
      <c r="G69" s="39" t="n">
        <v>44005000</v>
      </c>
      <c r="H69" s="38" t="n">
        <v>28579940</v>
      </c>
      <c r="I69" s="39" t="n">
        <v>28579940</v>
      </c>
      <c r="J69" s="38" t="n">
        <v>137224405</v>
      </c>
      <c r="K69" s="39" t="n">
        <v>137224405</v>
      </c>
      <c r="L69" s="38" t="n">
        <v>243956933</v>
      </c>
      <c r="M69" s="39" t="n">
        <v>243956933</v>
      </c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Lucio Muñoz Adarme</dc:creator>
  <dcterms:created xmlns:dcterms="http://purl.org/dc/terms/" xmlns:xsi="http://www.w3.org/2001/XMLSchema-instance" xsi:type="dcterms:W3CDTF">2024-12-12T06:20:43Z</dcterms:created>
  <dcterms:modified xmlns:dcterms="http://purl.org/dc/terms/" xmlns:xsi="http://www.w3.org/2001/XMLSchema-instance" xsi:type="dcterms:W3CDTF">2026-09-21T20:10:01Z</dcterms:modified>
  <cp:lastModifiedBy>Lucio Muñoz Adarme</cp:lastModifiedBy>
</cp:coreProperties>
</file>