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_-;\-&quot;$&quot;\ * #,##0_-;_-&quot;$&quot;\ * &quot;-&quot;??_-;_-@_-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54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3" fillId="3" borderId="6" pivotButton="0" quotePrefix="0" xfId="0"/>
    <xf numFmtId="164" fontId="5" fillId="3" borderId="6" pivotButton="0" quotePrefix="0" xfId="0"/>
    <xf numFmtId="164" fontId="5" fillId="3" borderId="7" pivotButton="0" quotePrefix="0" xfId="0"/>
    <xf numFmtId="0" fontId="6" fillId="4" borderId="6" pivotButton="0" quotePrefix="1" xfId="0"/>
    <xf numFmtId="164" fontId="6" fillId="4" borderId="6" pivotButton="0" quotePrefix="0" xfId="0"/>
    <xf numFmtId="164" fontId="6" fillId="4" borderId="7" pivotButton="0" quotePrefix="0" xfId="0"/>
    <xf numFmtId="0" fontId="7" fillId="0" borderId="0" pivotButton="0" quotePrefix="0" xfId="0"/>
    <xf numFmtId="0" fontId="3" fillId="5" borderId="4" pivotButton="0" quotePrefix="0" xfId="0"/>
    <xf numFmtId="164" fontId="3" fillId="5" borderId="4" pivotButton="0" quotePrefix="0" xfId="0"/>
    <xf numFmtId="164" fontId="3" fillId="5" borderId="5" pivotButton="0" quotePrefix="0" xfId="0"/>
    <xf numFmtId="0" fontId="3" fillId="0" borderId="8" pivotButton="0" quotePrefix="0" xfId="0"/>
    <xf numFmtId="164" fontId="3" fillId="0" borderId="2" pivotButton="0" quotePrefix="0" xfId="0"/>
    <xf numFmtId="164" fontId="3" fillId="0" borderId="3" pivotButton="0" quotePrefix="0" xfId="0"/>
    <xf numFmtId="0" fontId="0" fillId="0" borderId="9" pivotButton="0" quotePrefix="0" xfId="0"/>
    <xf numFmtId="164" fontId="0" fillId="0" borderId="10" pivotButton="0" quotePrefix="0" xfId="1"/>
    <xf numFmtId="164" fontId="0" fillId="0" borderId="11" pivotButton="0" quotePrefix="0" xfId="1"/>
    <xf numFmtId="0" fontId="0" fillId="0" borderId="9" applyAlignment="1" pivotButton="0" quotePrefix="0" xfId="0">
      <alignment horizontal="left" indent="3"/>
    </xf>
    <xf numFmtId="164" fontId="0" fillId="0" borderId="10" applyAlignment="1" pivotButton="0" quotePrefix="0" xfId="1">
      <alignment horizontal="left" indent="3"/>
    </xf>
    <xf numFmtId="164" fontId="0" fillId="0" borderId="11" applyAlignment="1" pivotButton="0" quotePrefix="0" xfId="1">
      <alignment horizontal="left" indent="3"/>
    </xf>
    <xf numFmtId="0" fontId="0" fillId="0" borderId="12" pivotButton="0" quotePrefix="0" xfId="0"/>
    <xf numFmtId="164" fontId="0" fillId="0" borderId="4" pivotButton="0" quotePrefix="0" xfId="1"/>
    <xf numFmtId="164" fontId="0" fillId="0" borderId="5" pivotButton="0" quotePrefix="0" xfId="1"/>
    <xf numFmtId="164" fontId="3" fillId="0" borderId="2" pivotButton="0" quotePrefix="0" xfId="1"/>
    <xf numFmtId="164" fontId="3" fillId="0" borderId="3" pivotButton="0" quotePrefix="0" xfId="1"/>
    <xf numFmtId="0" fontId="0" fillId="0" borderId="9" applyAlignment="1" pivotButton="0" quotePrefix="0" xfId="0">
      <alignment horizontal="left" vertical="center" wrapText="1" indent="3"/>
    </xf>
    <xf numFmtId="0" fontId="0" fillId="0" borderId="0" applyAlignment="1" pivotButton="0" quotePrefix="0" xfId="0">
      <alignment horizontal="left" indent="3"/>
    </xf>
    <xf numFmtId="0" fontId="0" fillId="0" borderId="4" pivotButton="0" quotePrefix="0" xfId="0"/>
    <xf numFmtId="0" fontId="0" fillId="0" borderId="5" pivotButton="0" quotePrefix="0" xfId="0"/>
    <xf numFmtId="164" fontId="3" fillId="5" borderId="12" pivotButton="0" quotePrefix="0" xfId="0"/>
    <xf numFmtId="164" fontId="3" fillId="5" borderId="6" pivotButton="0" quotePrefix="0" xfId="0"/>
    <xf numFmtId="164" fontId="3" fillId="5" borderId="7" pivotButton="0" quotePrefix="0" xfId="0"/>
    <xf numFmtId="0" fontId="0" fillId="0" borderId="8" pivotButton="0" quotePrefix="0" xfId="0"/>
    <xf numFmtId="164" fontId="0" fillId="0" borderId="2" pivotButton="0" quotePrefix="0" xfId="1"/>
    <xf numFmtId="164" fontId="0" fillId="0" borderId="3" pivotButton="0" quotePrefix="0" xfId="1"/>
    <xf numFmtId="0" fontId="6" fillId="4" borderId="13" pivotButton="0" quotePrefix="1" xfId="0"/>
    <xf numFmtId="0" fontId="3" fillId="5" borderId="12" pivotButton="0" quotePrefix="0" xfId="0"/>
    <xf numFmtId="0" fontId="0" fillId="0" borderId="9" applyAlignment="1" pivotButton="0" quotePrefix="0" xfId="0">
      <alignment horizontal="left" vertical="center" indent="3"/>
    </xf>
    <xf numFmtId="0" fontId="0" fillId="0" borderId="1" pivotButton="0" quotePrefix="0" xfId="0"/>
    <xf numFmtId="0" fontId="2" fillId="2" borderId="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0" fillId="0" borderId="3" pivotButton="0" quotePrefix="0" xfId="0"/>
    <xf numFmtId="164" fontId="5" fillId="6" borderId="7" pivotButton="0" quotePrefix="0" xfId="0"/>
    <xf numFmtId="164" fontId="6" fillId="6" borderId="7" pivotButton="0" quotePrefix="0" xfId="0"/>
    <xf numFmtId="164" fontId="3" fillId="6" borderId="5" pivotButton="0" quotePrefix="0" xfId="0"/>
    <xf numFmtId="164" fontId="3" fillId="6" borderId="3" pivotButton="0" quotePrefix="0" xfId="1"/>
    <xf numFmtId="164" fontId="0" fillId="6" borderId="11" pivotButton="0" quotePrefix="0" xfId="1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tabSelected="1" workbookViewId="0">
      <selection activeCell="D8" sqref="D8"/>
    </sheetView>
  </sheetViews>
  <sheetFormatPr baseColWidth="10" defaultColWidth="0" defaultRowHeight="15" zeroHeight="1" outlineLevelRow="1"/>
  <cols>
    <col width="43.7109375" customWidth="1" min="1" max="1"/>
    <col width="24.42578125" bestFit="1" customWidth="1" min="2" max="2"/>
    <col width="27.42578125" bestFit="1" customWidth="1" min="3" max="3"/>
    <col width="24.42578125" bestFit="1" customWidth="1" min="4" max="4"/>
    <col width="27.42578125" bestFit="1" customWidth="1" min="5" max="5"/>
    <col width="24.42578125" bestFit="1" customWidth="1" min="6" max="6"/>
    <col width="27.42578125" bestFit="1" customWidth="1" min="7" max="7"/>
    <col width="24.42578125" bestFit="1" customWidth="1" min="8" max="8"/>
    <col width="27.42578125" bestFit="1" customWidth="1" min="9" max="9"/>
    <col width="24.42578125" bestFit="1" customWidth="1" min="10" max="10"/>
    <col width="27.42578125" bestFit="1" customWidth="1" min="11" max="11"/>
    <col width="24.42578125" bestFit="1" customWidth="1" min="12" max="12"/>
    <col width="27.42578125" bestFit="1" customWidth="1" min="13" max="13"/>
    <col hidden="1" width="11.42578125" customWidth="1" min="31" max="16384"/>
  </cols>
  <sheetData>
    <row r="1">
      <c r="A1" s="2" t="inlineStr">
        <is>
          <t>UNIDAD GESTION GENERAL NIVEL NACIONAL, UNIDAD UNIMEDIOS NIVEL NACIONAL, UNIDAD UNIBIBLOS NIVEL NACIONAL</t>
        </is>
      </c>
    </row>
    <row r="2">
      <c r="A2" s="45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</row>
    <row r="3">
      <c r="A3" s="46" t="inlineStr">
        <is>
          <t>CONCEPTO</t>
        </is>
      </c>
      <c r="B3" s="47" t="n">
        <v>2016</v>
      </c>
      <c r="C3" s="48" t="n"/>
      <c r="D3" s="47" t="n">
        <v>2017</v>
      </c>
      <c r="E3" s="48" t="n"/>
      <c r="F3" s="47" t="n">
        <v>2018</v>
      </c>
      <c r="G3" s="48" t="n"/>
      <c r="H3" s="47" t="n">
        <v>2019</v>
      </c>
      <c r="I3" s="48" t="n"/>
      <c r="J3" s="47" t="n">
        <v>2020</v>
      </c>
      <c r="K3" s="48" t="n"/>
      <c r="L3" s="47" t="n">
        <v>2021</v>
      </c>
      <c r="M3" s="48" t="n"/>
    </row>
    <row r="4">
      <c r="A4" s="34" t="n"/>
      <c r="B4" s="6" t="inlineStr">
        <is>
          <t>Aforo vigente</t>
        </is>
      </c>
      <c r="C4" s="7" t="inlineStr">
        <is>
          <t>Recaudo efectivo acumulado</t>
        </is>
      </c>
      <c r="D4" s="6" t="inlineStr">
        <is>
          <t>Aforo vigente</t>
        </is>
      </c>
      <c r="E4" s="7" t="inlineStr">
        <is>
          <t>Recaudo efectivo acumulado</t>
        </is>
      </c>
      <c r="F4" s="6" t="inlineStr">
        <is>
          <t>Aforo vigente</t>
        </is>
      </c>
      <c r="G4" s="7" t="inlineStr">
        <is>
          <t>Recaudo efectivo acumulado</t>
        </is>
      </c>
      <c r="H4" s="6" t="inlineStr">
        <is>
          <t>Aforo vigente</t>
        </is>
      </c>
      <c r="I4" s="7" t="inlineStr">
        <is>
          <t>Recaudo efectivo acumulado</t>
        </is>
      </c>
      <c r="J4" s="6" t="inlineStr">
        <is>
          <t>Aforo vigente</t>
        </is>
      </c>
      <c r="K4" s="7" t="inlineStr">
        <is>
          <t>Recaudo efectivo acumulado</t>
        </is>
      </c>
      <c r="L4" s="6" t="inlineStr">
        <is>
          <t>Aforo vigente</t>
        </is>
      </c>
      <c r="M4" s="7" t="inlineStr">
        <is>
          <t>Recaudo efectivo acumulado</t>
        </is>
      </c>
    </row>
    <row r="5" ht="18.75" customHeight="1">
      <c r="A5" s="8" t="inlineStr">
        <is>
          <t>GESTION GENERAL</t>
        </is>
      </c>
      <c r="B5" s="9">
        <f>+B6+B50</f>
        <v/>
      </c>
      <c r="C5" s="10">
        <f>+C6+C50</f>
        <v/>
      </c>
      <c r="D5" s="9">
        <f>+D6+D50</f>
        <v/>
      </c>
      <c r="E5" s="10">
        <f>+E6+E50</f>
        <v/>
      </c>
      <c r="F5" s="9">
        <f>+F6+F50</f>
        <v/>
      </c>
      <c r="G5" s="49">
        <f>+G6+G50</f>
        <v/>
      </c>
      <c r="H5" s="9">
        <f>+H6+H50</f>
        <v/>
      </c>
      <c r="I5" s="10">
        <f>+I6+I50</f>
        <v/>
      </c>
      <c r="J5" s="9">
        <f>+J6+J50</f>
        <v/>
      </c>
      <c r="K5" s="10">
        <f>+K6+K50</f>
        <v/>
      </c>
      <c r="L5" s="9">
        <f>+L6+L50</f>
        <v/>
      </c>
      <c r="M5" s="10">
        <f>+M6+M50</f>
        <v/>
      </c>
    </row>
    <row r="6" ht="15.75" customFormat="1" customHeight="1" s="14">
      <c r="A6" s="11" t="inlineStr">
        <is>
          <t>- NIVEL CENTRAL</t>
        </is>
      </c>
      <c r="B6" s="12">
        <f>+B7+B35+B39</f>
        <v/>
      </c>
      <c r="C6" s="13">
        <f>+C7+C35+C39</f>
        <v/>
      </c>
      <c r="D6" s="12">
        <f>+D7+D35+D39</f>
        <v/>
      </c>
      <c r="E6" s="13">
        <f>+E7+E35+E39</f>
        <v/>
      </c>
      <c r="F6" s="12">
        <f>+F7+F35+F39</f>
        <v/>
      </c>
      <c r="G6" s="13">
        <f>+G7+G35+G39</f>
        <v/>
      </c>
      <c r="H6" s="12">
        <f>+H7+H35+H39</f>
        <v/>
      </c>
      <c r="I6" s="13">
        <f>+I7+I35+I39</f>
        <v/>
      </c>
      <c r="J6" s="12">
        <f>+J7+J35+J39</f>
        <v/>
      </c>
      <c r="K6" s="13">
        <f>+K7+K35+K39</f>
        <v/>
      </c>
      <c r="L6" s="12">
        <f>+L7+L35+L39</f>
        <v/>
      </c>
      <c r="M6" s="13">
        <f>+M7+M35+M39</f>
        <v/>
      </c>
    </row>
    <row r="7">
      <c r="A7" s="15" t="inlineStr">
        <is>
          <t xml:space="preserve">I. Recursos propios </t>
        </is>
      </c>
      <c r="B7" s="16">
        <f>+B8+B26</f>
        <v/>
      </c>
      <c r="C7" s="17">
        <f>+C8+C26</f>
        <v/>
      </c>
      <c r="D7" s="16">
        <f>+D8+D26</f>
        <v/>
      </c>
      <c r="E7" s="17">
        <f>+E8+E26</f>
        <v/>
      </c>
      <c r="F7" s="16">
        <f>+F8+F26</f>
        <v/>
      </c>
      <c r="G7" s="17">
        <f>+G8+G26</f>
        <v/>
      </c>
      <c r="H7" s="16">
        <f>+H8+H26</f>
        <v/>
      </c>
      <c r="I7" s="17">
        <f>+I8+I26</f>
        <v/>
      </c>
      <c r="J7" s="16">
        <f>+J8+J26</f>
        <v/>
      </c>
      <c r="K7" s="17">
        <f>+K8+K26</f>
        <v/>
      </c>
      <c r="L7" s="16">
        <f>+L8+L26</f>
        <v/>
      </c>
      <c r="M7" s="17">
        <f>+M8+M26</f>
        <v/>
      </c>
    </row>
    <row r="8" ht="15.75" customHeight="1">
      <c r="A8" s="18" t="inlineStr">
        <is>
          <t>1. Ingresos corrientes</t>
        </is>
      </c>
      <c r="B8" s="19">
        <f>+B9+B14+B17+B21+B25</f>
        <v/>
      </c>
      <c r="C8" s="20">
        <f>+C9+C14+C17+C21+C25</f>
        <v/>
      </c>
      <c r="D8" s="19">
        <f>+D9+D14+D17+D21</f>
        <v/>
      </c>
      <c r="E8" s="20">
        <f>+E9+E14+E17+E21</f>
        <v/>
      </c>
      <c r="F8" s="19">
        <f>+F9+F14+F17+F21</f>
        <v/>
      </c>
      <c r="G8" s="20">
        <f>+G9+G14+G17+G21</f>
        <v/>
      </c>
      <c r="H8" s="19">
        <f>+H9+H14+H17+H21</f>
        <v/>
      </c>
      <c r="I8" s="20">
        <f>+I9+I14+I17+I21</f>
        <v/>
      </c>
      <c r="J8" s="19">
        <f>+J9+J14+J17+J21</f>
        <v/>
      </c>
      <c r="K8" s="20">
        <f>+K9+K14+K17+K21</f>
        <v/>
      </c>
      <c r="L8" s="19">
        <f>+L9+L14+L17+L21</f>
        <v/>
      </c>
      <c r="M8" s="20">
        <f>+M9+M14+M17+M21</f>
        <v/>
      </c>
    </row>
    <row r="9" ht="15.75" customHeight="1">
      <c r="A9" s="21" t="inlineStr">
        <is>
          <t>SERVICIOS ACADÉMICOS PREGRADO</t>
        </is>
      </c>
      <c r="B9" s="22">
        <f>SUM(B10:B13)</f>
        <v/>
      </c>
      <c r="C9" s="23">
        <f>SUM(C10:C13)</f>
        <v/>
      </c>
      <c r="D9" s="22">
        <f>SUM(D10:D13)</f>
        <v/>
      </c>
      <c r="E9" s="23">
        <f>SUM(E10:E13)</f>
        <v/>
      </c>
      <c r="F9" s="22">
        <f>SUM(F10:F13)</f>
        <v/>
      </c>
      <c r="G9" s="23">
        <f>SUM(G10:G13)</f>
        <v/>
      </c>
      <c r="H9" s="22">
        <f>SUM(H10:H13)</f>
        <v/>
      </c>
      <c r="I9" s="23">
        <f>SUM(I10:I13)</f>
        <v/>
      </c>
      <c r="J9" s="22">
        <f>SUM(J10:J13)</f>
        <v/>
      </c>
      <c r="K9" s="23">
        <f>SUM(K10:K13)</f>
        <v/>
      </c>
      <c r="L9" s="22">
        <f>SUM(L10:L13)</f>
        <v/>
      </c>
      <c r="M9" s="23">
        <f>SUM(M10:M13)</f>
        <v/>
      </c>
    </row>
    <row r="10" outlineLevel="1" ht="15.75" customHeight="1">
      <c r="A10" s="24" t="inlineStr">
        <is>
          <t>Inscripciones pregrado</t>
        </is>
      </c>
      <c r="B10" s="25" t="n">
        <v>4439392311</v>
      </c>
      <c r="C10" s="26" t="n">
        <v>4872751982</v>
      </c>
      <c r="D10" s="25" t="n">
        <v>5105225878</v>
      </c>
      <c r="E10" s="26" t="n">
        <v>5107323223</v>
      </c>
      <c r="F10" s="25" t="n">
        <v>5457133630</v>
      </c>
      <c r="G10" s="26" t="n">
        <v>5954090587</v>
      </c>
      <c r="H10" s="25" t="n">
        <v>4878681454</v>
      </c>
      <c r="I10" s="26" t="n">
        <v>4618062167</v>
      </c>
      <c r="J10" s="25" t="n">
        <v>5912007266</v>
      </c>
      <c r="K10" s="26" t="n">
        <v>4357428658</v>
      </c>
      <c r="L10" s="25" t="n">
        <v>4138405086</v>
      </c>
      <c r="M10" s="26" t="n">
        <v>2323046271</v>
      </c>
    </row>
    <row r="11" outlineLevel="1" ht="15.75" customHeight="1">
      <c r="A11" s="24" t="inlineStr">
        <is>
          <t>Matrículas pregrado</t>
        </is>
      </c>
      <c r="B11" s="25" t="n">
        <v>894000000</v>
      </c>
      <c r="C11" s="26" t="n">
        <v>894000000</v>
      </c>
      <c r="D11" s="25" t="n"/>
      <c r="E11" s="26" t="n"/>
      <c r="F11" s="25" t="n">
        <v>10000000</v>
      </c>
      <c r="G11" s="26" t="n">
        <v>236533074</v>
      </c>
      <c r="H11" s="25" t="n">
        <v>8305853790</v>
      </c>
      <c r="I11" s="26" t="n">
        <v>7337898235</v>
      </c>
      <c r="J11" s="25" t="n"/>
      <c r="K11" s="26" t="n"/>
      <c r="L11" s="25" t="n">
        <v>0</v>
      </c>
      <c r="M11" s="26" t="n">
        <v>8758000</v>
      </c>
    </row>
    <row r="12" outlineLevel="1" ht="15.75" customHeight="1">
      <c r="A12" s="24" t="inlineStr">
        <is>
          <t>PROGRAMA SER PILO PAGA</t>
        </is>
      </c>
      <c r="B12" s="25" t="n">
        <v>0</v>
      </c>
      <c r="C12" s="26" t="n">
        <v>6376560</v>
      </c>
      <c r="D12" s="25" t="n">
        <v>0</v>
      </c>
      <c r="E12" s="26" t="n">
        <v>1575890613</v>
      </c>
      <c r="F12" s="25" t="n">
        <v>2996671594</v>
      </c>
      <c r="G12" s="26" t="n">
        <v>5733696802</v>
      </c>
      <c r="H12" s="25" t="n">
        <v>95932200</v>
      </c>
      <c r="I12" s="26" t="n">
        <v>5318085796</v>
      </c>
      <c r="J12" s="25" t="n">
        <v>14111310170</v>
      </c>
      <c r="K12" s="26" t="n">
        <v>13708964881</v>
      </c>
      <c r="L12" s="25" t="n">
        <v>7864775843</v>
      </c>
      <c r="M12" s="26" t="n">
        <v>11746837280</v>
      </c>
    </row>
    <row r="13" outlineLevel="1" ht="15.75" customHeight="1">
      <c r="A13" s="24" t="inlineStr">
        <is>
          <t>Otros ingresos</t>
        </is>
      </c>
      <c r="B13" s="25" t="n">
        <v>14825000</v>
      </c>
      <c r="C13" s="26" t="n">
        <v>14825000</v>
      </c>
      <c r="D13" s="25" t="n">
        <v>0</v>
      </c>
      <c r="E13" s="26" t="n">
        <v>1440679</v>
      </c>
      <c r="F13" s="25" t="n">
        <v>0</v>
      </c>
      <c r="G13" s="26" t="n">
        <v>111847132</v>
      </c>
      <c r="H13" s="25" t="n">
        <v>0</v>
      </c>
      <c r="I13" s="26" t="n">
        <v>0</v>
      </c>
      <c r="J13" s="25" t="n">
        <v>8024550348</v>
      </c>
      <c r="K13" s="26" t="n">
        <v>11632663416</v>
      </c>
      <c r="L13" s="25" t="n">
        <v>8000000000</v>
      </c>
      <c r="M13" s="26" t="n">
        <v>9574285560</v>
      </c>
    </row>
    <row r="14" ht="15.75" customHeight="1">
      <c r="A14" s="21" t="inlineStr">
        <is>
          <t>SERVICIOS ACADÉMICOS POSGRADO</t>
        </is>
      </c>
      <c r="B14" s="22">
        <f>SUM(B15:B16)</f>
        <v/>
      </c>
      <c r="C14" s="23">
        <f>SUM(C15:C16)</f>
        <v/>
      </c>
      <c r="D14" s="22">
        <f>SUM(D15:D16)</f>
        <v/>
      </c>
      <c r="E14" s="23">
        <f>SUM(E15:E16)</f>
        <v/>
      </c>
      <c r="F14" s="22">
        <f>SUM(F15:F16)</f>
        <v/>
      </c>
      <c r="G14" s="23">
        <f>SUM(G15:G16)</f>
        <v/>
      </c>
      <c r="H14" s="22">
        <f>SUM(H15:H16)</f>
        <v/>
      </c>
      <c r="I14" s="23">
        <f>SUM(I15:I16)</f>
        <v/>
      </c>
      <c r="J14" s="22">
        <f>SUM(J15:J16)</f>
        <v/>
      </c>
      <c r="K14" s="23">
        <f>SUM(K15:K16)</f>
        <v/>
      </c>
      <c r="L14" s="22">
        <f>SUM(L15:L16)</f>
        <v/>
      </c>
      <c r="M14" s="23">
        <f>SUM(M15:M16)</f>
        <v/>
      </c>
    </row>
    <row r="15" outlineLevel="1" ht="15.75" customHeight="1">
      <c r="A15" s="24" t="inlineStr">
        <is>
          <t>Inscripciones de posgrado</t>
        </is>
      </c>
      <c r="B15" s="25" t="n">
        <v>2690029901</v>
      </c>
      <c r="C15" s="26" t="n">
        <v>2335085926</v>
      </c>
      <c r="D15" s="25" t="n">
        <v>2550798002</v>
      </c>
      <c r="E15" s="26" t="n">
        <v>2623863081</v>
      </c>
      <c r="F15" s="25" t="n">
        <v>2741508000</v>
      </c>
      <c r="G15" s="26" t="n">
        <v>2644990133</v>
      </c>
      <c r="H15" s="25" t="n">
        <v>2887008000</v>
      </c>
      <c r="I15" s="26" t="n">
        <v>3797326987</v>
      </c>
      <c r="J15" s="25" t="n">
        <v>2900000000</v>
      </c>
      <c r="K15" s="26" t="n">
        <v>2759617174</v>
      </c>
      <c r="L15" s="25" t="n">
        <v>2030000000</v>
      </c>
      <c r="M15" s="26" t="n">
        <v>2834353402</v>
      </c>
    </row>
    <row r="16" outlineLevel="1" ht="15.75" customHeight="1">
      <c r="A16" s="24" t="inlineStr">
        <is>
          <t>Derechos administrativos de posgrado</t>
        </is>
      </c>
      <c r="B16" s="25" t="n">
        <v>1667469308</v>
      </c>
      <c r="C16" s="26" t="n">
        <v>2261593785</v>
      </c>
      <c r="D16" s="25" t="n">
        <v>1865814229</v>
      </c>
      <c r="E16" s="26" t="n">
        <v>2401300466</v>
      </c>
      <c r="F16" s="25" t="n">
        <v>2150000000</v>
      </c>
      <c r="G16" s="26" t="n">
        <v>2421561556</v>
      </c>
      <c r="H16" s="25" t="n">
        <v>2200000000</v>
      </c>
      <c r="I16" s="26" t="n">
        <v>2908250309</v>
      </c>
      <c r="J16" s="25" t="n">
        <v>2251527719</v>
      </c>
      <c r="K16" s="26" t="n">
        <v>1729591563</v>
      </c>
      <c r="L16" s="25" t="n">
        <v>1800000000</v>
      </c>
      <c r="M16" s="26" t="n">
        <v>3056076129</v>
      </c>
    </row>
    <row r="17" ht="15.75" customHeight="1">
      <c r="A17" s="21" t="inlineStr">
        <is>
          <t>OTROS INGRESOS</t>
        </is>
      </c>
      <c r="B17" s="22">
        <f>SUM(B18:B20)</f>
        <v/>
      </c>
      <c r="C17" s="23">
        <f>SUM(C18:C20)</f>
        <v/>
      </c>
      <c r="D17" s="22">
        <f>SUM(D18:D20)</f>
        <v/>
      </c>
      <c r="E17" s="23">
        <f>SUM(E18:E20)</f>
        <v/>
      </c>
      <c r="F17" s="22">
        <f>SUM(F18:F20)</f>
        <v/>
      </c>
      <c r="G17" s="23">
        <f>SUM(G18:G20)</f>
        <v/>
      </c>
      <c r="H17" s="22">
        <f>SUM(H18:H20)</f>
        <v/>
      </c>
      <c r="I17" s="23">
        <f>SUM(I18:I20)</f>
        <v/>
      </c>
      <c r="J17" s="22">
        <f>SUM(J18:J20)</f>
        <v/>
      </c>
      <c r="K17" s="23">
        <f>SUM(K18:K20)</f>
        <v/>
      </c>
      <c r="L17" s="22">
        <f>SUM(L18:L20)</f>
        <v/>
      </c>
      <c r="M17" s="23">
        <f>SUM(M18:M20)</f>
        <v/>
      </c>
    </row>
    <row r="18" outlineLevel="1" ht="15.75" customHeight="1">
      <c r="A18" s="24" t="inlineStr">
        <is>
          <t>Devolución iva</t>
        </is>
      </c>
      <c r="B18" s="25" t="n">
        <v>2230432000</v>
      </c>
      <c r="C18" s="26" t="n">
        <v>3473399795</v>
      </c>
      <c r="D18" s="25" t="n">
        <v>2765915000</v>
      </c>
      <c r="E18" s="26" t="n">
        <v>4827221079</v>
      </c>
      <c r="F18" s="25" t="n">
        <v>3855581800</v>
      </c>
      <c r="G18" s="26" t="n">
        <v>4530647414</v>
      </c>
      <c r="H18" s="25" t="n">
        <v>3541005000</v>
      </c>
      <c r="I18" s="26" t="n">
        <v>2922747049</v>
      </c>
      <c r="J18" s="25" t="n">
        <v>3031874000</v>
      </c>
      <c r="K18" s="26" t="n">
        <v>2576614863</v>
      </c>
      <c r="L18" s="25" t="n">
        <v>2604374000</v>
      </c>
      <c r="M18" s="26" t="n">
        <v>3693080696</v>
      </c>
    </row>
    <row r="19" outlineLevel="1" ht="15.75" customHeight="1">
      <c r="A19" s="24" t="inlineStr">
        <is>
          <t>Reintegros de nómina vigencias anteriores</t>
        </is>
      </c>
      <c r="B19" s="25" t="n">
        <v>0</v>
      </c>
      <c r="C19" s="26" t="n">
        <v>4160397</v>
      </c>
      <c r="D19" s="25" t="n">
        <v>0</v>
      </c>
      <c r="E19" s="26" t="n">
        <v>9951255</v>
      </c>
      <c r="F19" s="25" t="n">
        <v>7000000</v>
      </c>
      <c r="G19" s="26" t="n">
        <v>0</v>
      </c>
      <c r="H19" s="25" t="n">
        <v>0</v>
      </c>
      <c r="I19" s="26" t="n">
        <v>87878400</v>
      </c>
      <c r="J19" s="25" t="n"/>
      <c r="K19" s="26" t="n"/>
      <c r="L19" s="25" t="n">
        <v>0</v>
      </c>
      <c r="M19" s="26" t="n">
        <v>18958969</v>
      </c>
    </row>
    <row r="20" outlineLevel="1" ht="15.75" customHeight="1">
      <c r="A20" s="24" t="inlineStr">
        <is>
          <t>Otros ingresos</t>
        </is>
      </c>
      <c r="B20" s="22" t="n">
        <v>0</v>
      </c>
      <c r="C20" s="23" t="n">
        <v>275224538</v>
      </c>
      <c r="D20" s="22" t="n">
        <v>0</v>
      </c>
      <c r="E20" s="23" t="n">
        <v>284250235</v>
      </c>
      <c r="F20" s="22" t="n">
        <v>17360000</v>
      </c>
      <c r="G20" s="23" t="n">
        <v>13417033</v>
      </c>
      <c r="H20" s="22" t="n">
        <v>12000000</v>
      </c>
      <c r="I20" s="23" t="n">
        <v>673441017</v>
      </c>
      <c r="J20" s="22" t="n">
        <v>10000000</v>
      </c>
      <c r="K20" s="23" t="n">
        <v>320071637</v>
      </c>
      <c r="L20" s="22" t="n">
        <v>0</v>
      </c>
      <c r="M20" s="23" t="n">
        <v>1648023211</v>
      </c>
    </row>
    <row r="21" ht="15.75" customHeight="1">
      <c r="A21" s="21" t="inlineStr">
        <is>
          <t>TRANSFERENCIAS OPERACIONES INTERNAS SIN CONTRAPRESTACIÓN</t>
        </is>
      </c>
      <c r="B21" s="22">
        <f>SUM(B22:B24)</f>
        <v/>
      </c>
      <c r="C21" s="23">
        <f>SUM(C22:C24)</f>
        <v/>
      </c>
      <c r="D21" s="22">
        <f>SUM(D22:D24)</f>
        <v/>
      </c>
      <c r="E21" s="23">
        <f>SUM(E22:E24)</f>
        <v/>
      </c>
      <c r="F21" s="22">
        <f>SUM(F22:F24)</f>
        <v/>
      </c>
      <c r="G21" s="23">
        <f>SUM(G22:G24)</f>
        <v/>
      </c>
      <c r="H21" s="22">
        <f>SUM(H22:H24)</f>
        <v/>
      </c>
      <c r="I21" s="23">
        <f>SUM(I22:I24)</f>
        <v/>
      </c>
      <c r="J21" s="22">
        <f>SUM(J22:J24)</f>
        <v/>
      </c>
      <c r="K21" s="23">
        <f>SUM(K22:K24)</f>
        <v/>
      </c>
      <c r="L21" s="22">
        <f>SUM(L22:L24)</f>
        <v/>
      </c>
      <c r="M21" s="23">
        <f>SUM(M22:M24)</f>
        <v/>
      </c>
    </row>
    <row r="22" outlineLevel="1" ht="15.75" customHeight="1">
      <c r="A22" s="24" t="inlineStr">
        <is>
          <t>Transferencias o.i. sin contraprestación</t>
        </is>
      </c>
      <c r="B22" s="25" t="n">
        <v>9690965</v>
      </c>
      <c r="C22" s="26" t="n">
        <v>9690965</v>
      </c>
      <c r="D22" s="25" t="n">
        <v>0</v>
      </c>
      <c r="E22" s="26" t="n">
        <v>100647619</v>
      </c>
      <c r="F22" s="25" t="n">
        <v>0</v>
      </c>
      <c r="G22" s="26" t="n">
        <v>26883162</v>
      </c>
      <c r="H22" s="25" t="n"/>
      <c r="I22" s="26" t="n"/>
      <c r="J22" s="25" t="n">
        <v>0</v>
      </c>
      <c r="K22" s="26" t="n">
        <v>328803440</v>
      </c>
      <c r="L22" s="25" t="n"/>
      <c r="M22" s="26" t="n"/>
    </row>
    <row r="23" outlineLevel="1" ht="15.75" customHeight="1">
      <c r="A23" s="24" t="inlineStr">
        <is>
          <t>Transferencias o.i  fondo de investigación - ugi</t>
        </is>
      </c>
      <c r="B23" s="25" t="n">
        <v>2210373253</v>
      </c>
      <c r="C23" s="26" t="n">
        <v>4392390648</v>
      </c>
      <c r="D23" s="25" t="n">
        <v>1458003780</v>
      </c>
      <c r="E23" s="26" t="n">
        <v>4312854614</v>
      </c>
      <c r="F23" s="25" t="n">
        <v>956976856</v>
      </c>
      <c r="G23" s="26" t="n">
        <v>2995229011</v>
      </c>
      <c r="H23" s="25" t="n">
        <v>6802599465</v>
      </c>
      <c r="I23" s="26" t="n">
        <v>8707117287</v>
      </c>
      <c r="J23" s="25" t="n">
        <v>1253793236</v>
      </c>
      <c r="K23" s="26" t="n">
        <v>2797045192</v>
      </c>
      <c r="L23" s="25" t="n">
        <v>1835711484</v>
      </c>
      <c r="M23" s="26" t="n">
        <v>5575859809</v>
      </c>
    </row>
    <row r="24" outlineLevel="1" ht="15.75" customHeight="1">
      <c r="A24" s="24" t="inlineStr">
        <is>
          <t>Transferencias o.i. costos indirectos</t>
        </is>
      </c>
      <c r="B24" s="25" t="n">
        <v>984312178</v>
      </c>
      <c r="C24" s="26" t="n">
        <v>1749598778</v>
      </c>
      <c r="D24" s="25" t="n">
        <v>1488409878</v>
      </c>
      <c r="E24" s="26" t="n">
        <v>1718092307</v>
      </c>
      <c r="F24" s="25" t="n">
        <v>1500000000</v>
      </c>
      <c r="G24" s="26" t="n">
        <v>1437739603</v>
      </c>
      <c r="H24" s="25" t="n">
        <v>1300000000</v>
      </c>
      <c r="I24" s="26" t="n">
        <v>1628618817</v>
      </c>
      <c r="J24" s="25" t="n">
        <v>1313521000</v>
      </c>
      <c r="K24" s="26" t="n">
        <v>1715225307</v>
      </c>
      <c r="L24" s="25" t="n">
        <v>1300000000</v>
      </c>
      <c r="M24" s="26" t="n">
        <v>1893337093</v>
      </c>
    </row>
    <row r="25" ht="15.75" customHeight="1">
      <c r="A25" s="27" t="inlineStr">
        <is>
          <t>INGRESOS CORRIENTES POR DISTRIBUIR</t>
        </is>
      </c>
      <c r="B25" s="28" t="n">
        <v>814092</v>
      </c>
      <c r="C25" s="29" t="n">
        <v>0</v>
      </c>
      <c r="D25" s="28" t="inlineStr">
        <is>
          <t>NA</t>
        </is>
      </c>
      <c r="E25" s="29" t="inlineStr">
        <is>
          <t>NA</t>
        </is>
      </c>
      <c r="F25" s="28" t="inlineStr">
        <is>
          <t>NA</t>
        </is>
      </c>
      <c r="G25" s="29" t="inlineStr">
        <is>
          <t>NA</t>
        </is>
      </c>
      <c r="H25" s="28" t="inlineStr">
        <is>
          <t>NA</t>
        </is>
      </c>
      <c r="I25" s="29" t="inlineStr">
        <is>
          <t>NA</t>
        </is>
      </c>
      <c r="J25" s="28" t="inlineStr">
        <is>
          <t>NA</t>
        </is>
      </c>
      <c r="K25" s="29" t="inlineStr">
        <is>
          <t>NA</t>
        </is>
      </c>
      <c r="L25" s="28" t="inlineStr">
        <is>
          <t>NA</t>
        </is>
      </c>
      <c r="M25" s="29" t="inlineStr">
        <is>
          <t>NA</t>
        </is>
      </c>
    </row>
    <row r="26" ht="15.75" customHeight="1">
      <c r="A26" s="18" t="inlineStr">
        <is>
          <t>2. Recursos de capital</t>
        </is>
      </c>
      <c r="B26" s="30">
        <f>+B27+B29+B34</f>
        <v/>
      </c>
      <c r="C26" s="31">
        <f>+C27+C29+C34</f>
        <v/>
      </c>
      <c r="D26" s="30">
        <f>+D27+D29+D34</f>
        <v/>
      </c>
      <c r="E26" s="31">
        <f>+E27+E29+E34</f>
        <v/>
      </c>
      <c r="F26" s="30">
        <f>+F27+F29+F34</f>
        <v/>
      </c>
      <c r="G26" s="31">
        <f>+G27+G29+G34</f>
        <v/>
      </c>
      <c r="H26" s="30">
        <f>+H27+H29+H34</f>
        <v/>
      </c>
      <c r="I26" s="31">
        <f>+I27+I29+I34</f>
        <v/>
      </c>
      <c r="J26" s="30">
        <f>+J27+J29+J34</f>
        <v/>
      </c>
      <c r="K26" s="31">
        <f>+K27+K29+K34</f>
        <v/>
      </c>
      <c r="L26" s="30">
        <f>+L27+L29+L34</f>
        <v/>
      </c>
      <c r="M26" s="31">
        <f>+M27+M29+M34</f>
        <v/>
      </c>
    </row>
    <row r="27" ht="15.75" customHeight="1">
      <c r="A27" s="21" t="inlineStr">
        <is>
          <t>RENDIMIENTOS FINANCIEROS</t>
        </is>
      </c>
      <c r="B27" s="22">
        <f>SUM(B28:B28)</f>
        <v/>
      </c>
      <c r="C27" s="23">
        <f>SUM(C28:C28)</f>
        <v/>
      </c>
      <c r="D27" s="22">
        <f>SUM(D28:D28)</f>
        <v/>
      </c>
      <c r="E27" s="23">
        <f>SUM(E28:E28)</f>
        <v/>
      </c>
      <c r="F27" s="22">
        <f>SUM(F28:F28)</f>
        <v/>
      </c>
      <c r="G27" s="23">
        <f>SUM(G28:G28)</f>
        <v/>
      </c>
      <c r="H27" s="22">
        <f>SUM(H28:H28)</f>
        <v/>
      </c>
      <c r="I27" s="23">
        <f>SUM(I28:I28)</f>
        <v/>
      </c>
      <c r="J27" s="22">
        <f>SUM(J28:J28)</f>
        <v/>
      </c>
      <c r="K27" s="23">
        <f>SUM(K28:K28)</f>
        <v/>
      </c>
      <c r="L27" s="22">
        <f>SUM(L28:L28)</f>
        <v/>
      </c>
      <c r="M27" s="23">
        <f>SUM(M28:M28)</f>
        <v/>
      </c>
    </row>
    <row r="28" outlineLevel="1" ht="15.75" customFormat="1" customHeight="1" s="33">
      <c r="A28" s="32" t="inlineStr">
        <is>
          <t>Rendimientos  entidades financieras</t>
        </is>
      </c>
      <c r="B28" s="25" t="n">
        <v>1811264848</v>
      </c>
      <c r="C28" s="26" t="n">
        <v>5300678709</v>
      </c>
      <c r="D28" s="25" t="n">
        <v>4163954000</v>
      </c>
      <c r="E28" s="26" t="n">
        <v>5472750078</v>
      </c>
      <c r="F28" s="25" t="n">
        <v>3160668000</v>
      </c>
      <c r="G28" s="26" t="n">
        <v>5599346596</v>
      </c>
      <c r="H28" s="25" t="n">
        <v>3555514000</v>
      </c>
      <c r="I28" s="26" t="n">
        <v>6663274724</v>
      </c>
      <c r="J28" s="25" t="n">
        <v>3553255000</v>
      </c>
      <c r="K28" s="26" t="n">
        <v>5802127861</v>
      </c>
      <c r="L28" s="25" t="n">
        <v>2511755000</v>
      </c>
      <c r="M28" s="26" t="n">
        <v>3155662664</v>
      </c>
    </row>
    <row r="29" ht="15.75" customHeight="1">
      <c r="A29" s="21" t="inlineStr">
        <is>
          <t>EXCEDENTES FINANCIEROS</t>
        </is>
      </c>
      <c r="B29" s="22">
        <f>SUM(B30:B33)</f>
        <v/>
      </c>
      <c r="C29" s="23">
        <f>SUM(C30:C33)</f>
        <v/>
      </c>
      <c r="D29" s="22">
        <f>SUM(D30:D33)</f>
        <v/>
      </c>
      <c r="E29" s="23">
        <f>SUM(E30:E33)</f>
        <v/>
      </c>
      <c r="F29" s="22">
        <f>SUM(F30:F33)</f>
        <v/>
      </c>
      <c r="G29" s="23">
        <f>SUM(G30:G33)</f>
        <v/>
      </c>
      <c r="H29" s="22">
        <f>SUM(H30:H33)</f>
        <v/>
      </c>
      <c r="I29" s="23">
        <f>SUM(I30:I33)</f>
        <v/>
      </c>
      <c r="J29" s="22">
        <f>SUM(J30:J33)</f>
        <v/>
      </c>
      <c r="K29" s="23">
        <f>SUM(K30:K33)</f>
        <v/>
      </c>
      <c r="L29" s="22">
        <f>SUM(L30:L33)</f>
        <v/>
      </c>
      <c r="M29" s="23">
        <f>SUM(M30:M33)</f>
        <v/>
      </c>
    </row>
    <row r="30" outlineLevel="1" ht="15.75" customHeight="1">
      <c r="A30" s="24" t="inlineStr">
        <is>
          <t>Excedentes financieros -  gestión general</t>
        </is>
      </c>
      <c r="B30" s="25" t="n">
        <v>24107205290</v>
      </c>
      <c r="C30" s="26" t="n">
        <v>24107205290</v>
      </c>
      <c r="D30" s="25" t="n">
        <v>21284194355</v>
      </c>
      <c r="E30" s="26" t="n">
        <v>21284194355</v>
      </c>
      <c r="F30" s="25" t="n">
        <v>16409856046</v>
      </c>
      <c r="G30" s="26" t="n">
        <v>16407826668</v>
      </c>
      <c r="H30" s="25" t="n">
        <v>24250083910</v>
      </c>
      <c r="I30" s="26" t="n">
        <v>24216975050</v>
      </c>
      <c r="J30" s="25" t="n">
        <v>28673809971</v>
      </c>
      <c r="K30" s="26" t="n">
        <v>28655753956</v>
      </c>
      <c r="L30" s="25" t="n">
        <v>26496168696</v>
      </c>
      <c r="M30" s="26" t="n">
        <v>26496167687</v>
      </c>
    </row>
    <row r="31" outlineLevel="1" ht="15.75" customHeight="1">
      <c r="A31" s="24" t="inlineStr">
        <is>
          <t>Excedentes financieros - nivel nacional</t>
        </is>
      </c>
      <c r="B31" s="25" t="n">
        <v>293000000</v>
      </c>
      <c r="C31" s="26" t="n">
        <v>293000000</v>
      </c>
      <c r="D31" s="25" t="n">
        <v>1313674858</v>
      </c>
      <c r="E31" s="26" t="n">
        <v>1313674858</v>
      </c>
      <c r="F31" s="25" t="n">
        <v>558204958</v>
      </c>
      <c r="G31" s="26" t="n">
        <v>558204959</v>
      </c>
      <c r="H31" s="25" t="n"/>
      <c r="I31" s="26" t="n"/>
      <c r="J31" s="25" t="n"/>
      <c r="K31" s="26" t="n"/>
      <c r="L31" s="25" t="n"/>
      <c r="M31" s="26" t="n"/>
    </row>
    <row r="32" outlineLevel="1" ht="15.75" customHeight="1">
      <c r="A32" s="24" t="inlineStr">
        <is>
          <t>Excedentes financieros - matrículas pregrado recibidas por anticipado</t>
        </is>
      </c>
      <c r="B32" s="25" t="n"/>
      <c r="C32" s="26" t="n"/>
      <c r="D32" s="25" t="n">
        <v>119353479</v>
      </c>
      <c r="E32" s="26" t="n">
        <v>118505030</v>
      </c>
      <c r="F32" s="25" t="n">
        <v>421499352</v>
      </c>
      <c r="G32" s="26" t="n">
        <v>0</v>
      </c>
      <c r="H32" s="25" t="n"/>
      <c r="I32" s="26" t="n"/>
      <c r="J32" s="25" t="n"/>
      <c r="K32" s="26" t="n"/>
      <c r="L32" s="25" t="n"/>
      <c r="M32" s="26" t="n"/>
    </row>
    <row r="33" outlineLevel="1" ht="15.75" customHeight="1">
      <c r="A33" s="24" t="inlineStr">
        <is>
          <t>Excedentes financieros - ugi nivel nacional</t>
        </is>
      </c>
      <c r="B33" s="25" t="n"/>
      <c r="C33" s="26" t="n"/>
      <c r="D33" s="25" t="n"/>
      <c r="E33" s="26" t="n"/>
      <c r="F33" s="25" t="n"/>
      <c r="G33" s="26" t="n"/>
      <c r="H33" s="25" t="n">
        <v>3735259962</v>
      </c>
      <c r="I33" s="26" t="n">
        <v>3735259962</v>
      </c>
      <c r="J33" s="25" t="n"/>
      <c r="K33" s="26" t="n"/>
      <c r="L33" s="25" t="n"/>
      <c r="M33" s="26" t="n"/>
    </row>
    <row r="34" ht="15.75" customHeight="1">
      <c r="A34" s="27" t="inlineStr">
        <is>
          <t>DONACIONES EN DINERO</t>
        </is>
      </c>
      <c r="B34" s="34" t="n"/>
      <c r="C34" s="35" t="n"/>
      <c r="D34" s="34" t="n"/>
      <c r="E34" s="35" t="n"/>
      <c r="F34" s="34" t="n"/>
      <c r="G34" s="35" t="n"/>
      <c r="H34" s="34" t="n"/>
      <c r="I34" s="35" t="n">
        <v>2000</v>
      </c>
      <c r="J34" s="34" t="n"/>
      <c r="K34" s="35" t="n"/>
      <c r="L34" s="34" t="n"/>
      <c r="M34" s="35" t="n"/>
    </row>
    <row r="35" ht="15.75" customHeight="1">
      <c r="A35" s="36" t="inlineStr">
        <is>
          <t xml:space="preserve">II. Contribuciones parafiscales </t>
        </is>
      </c>
      <c r="B35" s="37">
        <f>+B36+B38</f>
        <v/>
      </c>
      <c r="C35" s="38">
        <f>+C36+C38</f>
        <v/>
      </c>
      <c r="D35" s="37">
        <f>+D36+D38</f>
        <v/>
      </c>
      <c r="E35" s="38">
        <f>+E36+E38</f>
        <v/>
      </c>
      <c r="F35" s="37">
        <f>+F36+F38</f>
        <v/>
      </c>
      <c r="G35" s="38">
        <f>+G36+G38</f>
        <v/>
      </c>
      <c r="H35" s="37">
        <f>+H36+H38</f>
        <v/>
      </c>
      <c r="I35" s="38">
        <f>+I36+I38</f>
        <v/>
      </c>
      <c r="J35" s="37">
        <f>+J36+J38</f>
        <v/>
      </c>
      <c r="K35" s="38">
        <f>+K36+K38</f>
        <v/>
      </c>
      <c r="L35" s="37">
        <f>+L36+L38</f>
        <v/>
      </c>
      <c r="M35" s="38">
        <f>+M36+M38</f>
        <v/>
      </c>
    </row>
    <row r="36" ht="15.75" customHeight="1">
      <c r="A36" s="39" t="inlineStr">
        <is>
          <t>ESTAMPILLAS</t>
        </is>
      </c>
      <c r="B36" s="40">
        <f>SUM(B37:B37)</f>
        <v/>
      </c>
      <c r="C36" s="41">
        <f>SUM(C37:C37)</f>
        <v/>
      </c>
      <c r="D36" s="40">
        <f>SUM(D37:D37)</f>
        <v/>
      </c>
      <c r="E36" s="41">
        <f>SUM(E37:E37)</f>
        <v/>
      </c>
      <c r="F36" s="40">
        <f>SUM(F37:F37)</f>
        <v/>
      </c>
      <c r="G36" s="41">
        <f>SUM(G37:G37)</f>
        <v/>
      </c>
      <c r="H36" s="40">
        <f>SUM(H37:H37)</f>
        <v/>
      </c>
      <c r="I36" s="41">
        <f>SUM(I37:I37)</f>
        <v/>
      </c>
      <c r="J36" s="40">
        <f>SUM(J37:J37)</f>
        <v/>
      </c>
      <c r="K36" s="41">
        <f>SUM(K37:K37)</f>
        <v/>
      </c>
      <c r="L36" s="40">
        <f>SUM(L37:L37)</f>
        <v/>
      </c>
      <c r="M36" s="41">
        <f>SUM(M37:M37)</f>
        <v/>
      </c>
    </row>
    <row r="37" outlineLevel="1" ht="15.75" customFormat="1" customHeight="1" s="33">
      <c r="A37" s="44" t="inlineStr">
        <is>
          <t>Estampilla pro universidad nacional de colombia</t>
        </is>
      </c>
      <c r="B37" s="25" t="n">
        <v>5592000000</v>
      </c>
      <c r="C37" s="26" t="n">
        <v>5010548437</v>
      </c>
      <c r="D37" s="25" t="n">
        <v>11519580284</v>
      </c>
      <c r="E37" s="26" t="n">
        <v>11519580284</v>
      </c>
      <c r="F37" s="25" t="n">
        <v>7104605988</v>
      </c>
      <c r="G37" s="26" t="n">
        <v>7104605988</v>
      </c>
      <c r="H37" s="25" t="n">
        <v>21684845938</v>
      </c>
      <c r="I37" s="26" t="n">
        <v>21684845938</v>
      </c>
      <c r="J37" s="25" t="n">
        <v>5429714279</v>
      </c>
      <c r="K37" s="26" t="n">
        <v>5429714279</v>
      </c>
      <c r="L37" s="25" t="n">
        <v>10449381338</v>
      </c>
      <c r="M37" s="26" t="n">
        <v>10449381338</v>
      </c>
    </row>
    <row r="38" ht="15.75" customHeight="1">
      <c r="A38" s="27" t="inlineStr">
        <is>
          <t>INGRESOS ESTAMPILLA PRO UNIVERSIDAD NACIONAL DE COLOMBIA POR DISTRIBUIR</t>
        </is>
      </c>
      <c r="B38" s="28" t="n"/>
      <c r="C38" s="29" t="n"/>
      <c r="D38" s="28" t="n">
        <v>39689018</v>
      </c>
      <c r="E38" s="29" t="n">
        <v>39689018</v>
      </c>
      <c r="F38" s="28" t="n"/>
      <c r="G38" s="29" t="n"/>
      <c r="H38" s="28" t="n">
        <v>0</v>
      </c>
      <c r="I38" s="29" t="n">
        <v>0</v>
      </c>
      <c r="J38" s="28" t="n">
        <v>0</v>
      </c>
      <c r="K38" s="29" t="n">
        <v>0</v>
      </c>
      <c r="L38" s="28" t="n">
        <v>0</v>
      </c>
      <c r="M38" s="29" t="n">
        <v>1847817824</v>
      </c>
    </row>
    <row r="39" ht="15.75" customHeight="1">
      <c r="A39" s="36" t="inlineStr">
        <is>
          <t>III. Aportes Nación</t>
        </is>
      </c>
      <c r="B39" s="37">
        <f>+B40+B46</f>
        <v/>
      </c>
      <c r="C39" s="38">
        <f>+C40+C46</f>
        <v/>
      </c>
      <c r="D39" s="37">
        <f>+D40+D46</f>
        <v/>
      </c>
      <c r="E39" s="38">
        <f>+E40+E46</f>
        <v/>
      </c>
      <c r="F39" s="37">
        <f>+F40+F46</f>
        <v/>
      </c>
      <c r="G39" s="38">
        <f>+G40+G46</f>
        <v/>
      </c>
      <c r="H39" s="37">
        <f>+H40+H46</f>
        <v/>
      </c>
      <c r="I39" s="38">
        <f>+I40+I46</f>
        <v/>
      </c>
      <c r="J39" s="37">
        <f>+J40+J46</f>
        <v/>
      </c>
      <c r="K39" s="38">
        <f>+K40+K46</f>
        <v/>
      </c>
      <c r="L39" s="37">
        <f>+L40+L46</f>
        <v/>
      </c>
      <c r="M39" s="38">
        <f>+M40+M46</f>
        <v/>
      </c>
    </row>
    <row r="40" ht="15.75" customHeight="1">
      <c r="A40" s="39" t="inlineStr">
        <is>
          <t>FUNCIONAMIENTO</t>
        </is>
      </c>
      <c r="B40" s="40">
        <f>SUM(B41:B45)</f>
        <v/>
      </c>
      <c r="C40" s="41">
        <f>SUM(C41:C45)</f>
        <v/>
      </c>
      <c r="D40" s="40">
        <f>SUM(D41:D45)</f>
        <v/>
      </c>
      <c r="E40" s="41">
        <f>SUM(E41:E45)</f>
        <v/>
      </c>
      <c r="F40" s="40">
        <f>SUM(F41:F45)</f>
        <v/>
      </c>
      <c r="G40" s="41">
        <f>SUM(G41:G45)</f>
        <v/>
      </c>
      <c r="H40" s="40">
        <f>SUM(H41:H45)</f>
        <v/>
      </c>
      <c r="I40" s="41">
        <f>SUM(I41:I45)</f>
        <v/>
      </c>
      <c r="J40" s="40">
        <f>SUM(J41:J45)</f>
        <v/>
      </c>
      <c r="K40" s="41">
        <f>SUM(K41:K45)</f>
        <v/>
      </c>
      <c r="L40" s="40">
        <f>SUM(L41:L45)</f>
        <v/>
      </c>
      <c r="M40" s="41">
        <f>SUM(M41:M45)</f>
        <v/>
      </c>
    </row>
    <row r="41" outlineLevel="1" ht="15.75" customHeight="1">
      <c r="A41" s="24" t="inlineStr">
        <is>
          <t>Gastos de personal</t>
        </is>
      </c>
      <c r="B41" s="25" t="n">
        <v>61427933480</v>
      </c>
      <c r="C41" s="26" t="n">
        <v>61427933480</v>
      </c>
      <c r="D41" s="25" t="n">
        <v>67752702033</v>
      </c>
      <c r="E41" s="26" t="n">
        <v>67752702033</v>
      </c>
      <c r="F41" s="25" t="n">
        <v>68379880792</v>
      </c>
      <c r="G41" s="26" t="n">
        <v>68379880792</v>
      </c>
      <c r="H41" s="25" t="n">
        <v>82166494643</v>
      </c>
      <c r="I41" s="26" t="n">
        <v>82166494643</v>
      </c>
      <c r="J41" s="25" t="n">
        <v>83303663236</v>
      </c>
      <c r="K41" s="26" t="n">
        <v>83303663236</v>
      </c>
      <c r="L41" s="25" t="n">
        <v>93874638145</v>
      </c>
      <c r="M41" s="26" t="n">
        <v>94147922616</v>
      </c>
    </row>
    <row r="42" outlineLevel="1" ht="15.75" customHeight="1">
      <c r="A42" s="24" t="inlineStr">
        <is>
          <t>Transferencias corrientes</t>
        </is>
      </c>
      <c r="B42" s="25" t="n">
        <v>995207486</v>
      </c>
      <c r="C42" s="26" t="n">
        <v>995207486</v>
      </c>
      <c r="D42" s="25" t="n">
        <v>1249134598</v>
      </c>
      <c r="E42" s="26" t="n">
        <v>1249134598</v>
      </c>
      <c r="F42" s="25" t="n">
        <v>1371936047</v>
      </c>
      <c r="G42" s="26" t="n">
        <v>1371936047</v>
      </c>
      <c r="H42" s="25" t="n">
        <v>1417209937</v>
      </c>
      <c r="I42" s="26" t="n">
        <v>1417209937</v>
      </c>
      <c r="J42" s="25" t="n">
        <v>1475102192</v>
      </c>
      <c r="K42" s="26" t="n">
        <v>1475102192</v>
      </c>
      <c r="L42" s="25" t="n">
        <v>1548857302</v>
      </c>
      <c r="M42" s="26" t="n">
        <v>1548857302</v>
      </c>
    </row>
    <row r="43" outlineLevel="1" ht="15.75" customHeight="1">
      <c r="A43" s="24" t="inlineStr">
        <is>
          <t>Flujo de fondos  y apropiación de funcionamiento pendiente por distribuir</t>
        </is>
      </c>
      <c r="B43" s="25" t="n">
        <v>0</v>
      </c>
      <c r="C43" s="26" t="n">
        <v>0</v>
      </c>
      <c r="D43" s="25" t="n">
        <v>2000000000</v>
      </c>
      <c r="E43" s="26" t="n">
        <v>2000000001</v>
      </c>
      <c r="F43" s="25" t="n">
        <v>0</v>
      </c>
      <c r="G43" s="26" t="n">
        <v>15000000000</v>
      </c>
      <c r="H43" s="25" t="n">
        <v>0</v>
      </c>
      <c r="I43" s="26" t="n">
        <v>0</v>
      </c>
      <c r="J43" s="25" t="n">
        <v>0</v>
      </c>
      <c r="K43" s="26" t="n">
        <v>0</v>
      </c>
      <c r="L43" s="25" t="n">
        <v>0</v>
      </c>
      <c r="M43" s="26" t="n">
        <v>0</v>
      </c>
    </row>
    <row r="44" outlineLevel="1" ht="15.75" customHeight="1">
      <c r="A44" s="24" t="inlineStr">
        <is>
          <t>Gastos generales</t>
        </is>
      </c>
      <c r="B44" s="25" t="n"/>
      <c r="C44" s="26" t="n"/>
      <c r="D44" s="25" t="n"/>
      <c r="E44" s="26" t="n"/>
      <c r="F44" s="25" t="n"/>
      <c r="G44" s="26" t="n"/>
      <c r="H44" s="25" t="n"/>
      <c r="I44" s="26" t="n"/>
      <c r="J44" s="25" t="n">
        <v>413925</v>
      </c>
      <c r="K44" s="26" t="n">
        <v>413925</v>
      </c>
      <c r="L44" s="25" t="n"/>
      <c r="M44" s="26" t="n"/>
    </row>
    <row r="45" outlineLevel="1" ht="15.75" customHeight="1">
      <c r="A45" s="24" t="inlineStr">
        <is>
          <t>LEY 1819 COOPERATIVAS</t>
        </is>
      </c>
      <c r="B45" s="25" t="n"/>
      <c r="C45" s="26" t="n"/>
      <c r="D45" s="25" t="n"/>
      <c r="E45" s="26" t="n"/>
      <c r="F45" s="25" t="n"/>
      <c r="G45" s="26" t="n"/>
      <c r="H45" s="25" t="n"/>
      <c r="I45" s="26" t="n"/>
      <c r="J45" s="25" t="n"/>
      <c r="K45" s="26" t="n"/>
      <c r="L45" s="25" t="n">
        <v>862372977</v>
      </c>
      <c r="M45" s="26" t="n">
        <v>862372977</v>
      </c>
    </row>
    <row r="46" ht="15.75" customHeight="1">
      <c r="A46" s="39" t="inlineStr">
        <is>
          <t>INVERSIÓN</t>
        </is>
      </c>
      <c r="B46" s="40">
        <f>SUM(B47:B49)</f>
        <v/>
      </c>
      <c r="C46" s="41">
        <f>SUM(C47:C49)</f>
        <v/>
      </c>
      <c r="D46" s="40">
        <f>SUM(D47:D49)</f>
        <v/>
      </c>
      <c r="E46" s="41">
        <f>SUM(E47:E49)</f>
        <v/>
      </c>
      <c r="F46" s="40">
        <f>SUM(F47:F49)</f>
        <v/>
      </c>
      <c r="G46" s="41">
        <f>SUM(G47:G49)</f>
        <v/>
      </c>
      <c r="H46" s="40">
        <f>SUM(H47:H49)</f>
        <v/>
      </c>
      <c r="I46" s="41">
        <f>SUM(I47:I49)</f>
        <v/>
      </c>
      <c r="J46" s="40">
        <f>SUM(J47:J49)</f>
        <v/>
      </c>
      <c r="K46" s="41">
        <f>SUM(K47:K49)</f>
        <v/>
      </c>
      <c r="L46" s="40">
        <f>SUM(L47:L49)</f>
        <v/>
      </c>
      <c r="M46" s="41">
        <f>SUM(M47:M49)</f>
        <v/>
      </c>
    </row>
    <row r="47" outlineLevel="1" ht="15.75" customHeight="1">
      <c r="A47" s="24" t="inlineStr">
        <is>
          <t>Inversión</t>
        </is>
      </c>
      <c r="B47" s="25" t="n">
        <v>32269261813</v>
      </c>
      <c r="C47" s="26" t="n">
        <v>29681960805</v>
      </c>
      <c r="D47" s="25" t="n">
        <v>34801971564</v>
      </c>
      <c r="E47" s="26" t="n">
        <v>34791811564</v>
      </c>
      <c r="F47" s="25" t="n">
        <v>24464558555</v>
      </c>
      <c r="G47" s="26" t="n">
        <v>24464558555</v>
      </c>
      <c r="H47" s="25" t="n">
        <v>30854370552</v>
      </c>
      <c r="I47" s="26" t="n">
        <v>30854370552</v>
      </c>
      <c r="J47" s="25" t="n">
        <v>30351034836</v>
      </c>
      <c r="K47" s="26" t="n">
        <v>30351034836</v>
      </c>
      <c r="L47" s="25" t="n">
        <v>25770104280</v>
      </c>
      <c r="M47" s="26" t="n">
        <v>25770537035</v>
      </c>
    </row>
    <row r="48" outlineLevel="1" ht="15.75" customHeight="1">
      <c r="A48" s="24" t="inlineStr">
        <is>
          <t>Flujo de fondos y apropiación de inversión pendiente por distribuir</t>
        </is>
      </c>
      <c r="B48" s="25" t="n">
        <v>0</v>
      </c>
      <c r="C48" s="26" t="n">
        <v>168017248</v>
      </c>
      <c r="D48" s="25" t="n">
        <v>0</v>
      </c>
      <c r="E48" s="26" t="n">
        <v>10160000</v>
      </c>
      <c r="F48" s="25" t="n">
        <v>0</v>
      </c>
      <c r="G48" s="26" t="n">
        <v>2800000000</v>
      </c>
      <c r="H48" s="25" t="n">
        <v>0</v>
      </c>
      <c r="I48" s="26" t="n">
        <v>0</v>
      </c>
      <c r="J48" s="25" t="n">
        <v>0</v>
      </c>
      <c r="K48" s="26" t="n">
        <v>8418086</v>
      </c>
      <c r="L48" s="25" t="n">
        <v>0</v>
      </c>
      <c r="M48" s="26" t="n">
        <v>0</v>
      </c>
    </row>
    <row r="49" outlineLevel="1" ht="15.75" customHeight="1">
      <c r="A49" s="24" t="inlineStr">
        <is>
          <t>PLAN DE FOMENTO A LA CALIDAD</t>
        </is>
      </c>
      <c r="B49" s="25" t="n"/>
      <c r="C49" s="26" t="n"/>
      <c r="D49" s="25" t="n"/>
      <c r="E49" s="26" t="n"/>
      <c r="F49" s="25" t="n"/>
      <c r="G49" s="26" t="n"/>
      <c r="H49" s="25" t="n"/>
      <c r="I49" s="26" t="n"/>
      <c r="J49" s="25" t="n"/>
      <c r="K49" s="26" t="n"/>
      <c r="L49" s="25" t="n">
        <v>7818815695</v>
      </c>
      <c r="M49" s="26" t="n">
        <v>7818815695</v>
      </c>
    </row>
    <row r="50" ht="15.75" customHeight="1">
      <c r="A50" s="42" t="inlineStr">
        <is>
          <t>- FONDOS ESPECIALES</t>
        </is>
      </c>
      <c r="B50" s="12">
        <f>+B51</f>
        <v/>
      </c>
      <c r="C50" s="13">
        <f>+C51</f>
        <v/>
      </c>
      <c r="D50" s="12">
        <f>+D51</f>
        <v/>
      </c>
      <c r="E50" s="13">
        <f>+E51</f>
        <v/>
      </c>
      <c r="F50" s="12">
        <f>+F51</f>
        <v/>
      </c>
      <c r="G50" s="50">
        <f>+G51</f>
        <v/>
      </c>
      <c r="H50" s="12">
        <f>+H51</f>
        <v/>
      </c>
      <c r="I50" s="13">
        <f>+I51</f>
        <v/>
      </c>
      <c r="J50" s="12">
        <f>+J51</f>
        <v/>
      </c>
      <c r="K50" s="13">
        <f>+K51</f>
        <v/>
      </c>
      <c r="L50" s="12">
        <f>+L51</f>
        <v/>
      </c>
      <c r="M50" s="13">
        <f>+M51</f>
        <v/>
      </c>
    </row>
    <row r="51" ht="15.75" customHeight="1">
      <c r="A51" s="43" t="inlineStr">
        <is>
          <t xml:space="preserve">I. Recursos propios </t>
        </is>
      </c>
      <c r="B51" s="16">
        <f>+B52+B81</f>
        <v/>
      </c>
      <c r="C51" s="17">
        <f>+C52+C81</f>
        <v/>
      </c>
      <c r="D51" s="16">
        <f>+D52+D81</f>
        <v/>
      </c>
      <c r="E51" s="17">
        <f>+E52+E81</f>
        <v/>
      </c>
      <c r="F51" s="16">
        <f>+F52+F81</f>
        <v/>
      </c>
      <c r="G51" s="51">
        <f>+G52+G81</f>
        <v/>
      </c>
      <c r="H51" s="16">
        <f>+H52+H81</f>
        <v/>
      </c>
      <c r="I51" s="17">
        <f>+I52+I81</f>
        <v/>
      </c>
      <c r="J51" s="16">
        <f>+J52+J81</f>
        <v/>
      </c>
      <c r="K51" s="17">
        <f>+K52+K81</f>
        <v/>
      </c>
      <c r="L51" s="16">
        <f>+L52+L81</f>
        <v/>
      </c>
      <c r="M51" s="17">
        <f>+M52+M81</f>
        <v/>
      </c>
    </row>
    <row r="52" ht="15.75" customHeight="1">
      <c r="A52" s="18" t="inlineStr">
        <is>
          <t>1. Ingresos corrientes</t>
        </is>
      </c>
      <c r="B52" s="30">
        <f>+B53+B60+B67+B73+B80</f>
        <v/>
      </c>
      <c r="C52" s="31">
        <f>+C53+C60+C67+C73+C80</f>
        <v/>
      </c>
      <c r="D52" s="30">
        <f>+D53+D60+D67+D73+D80</f>
        <v/>
      </c>
      <c r="E52" s="31">
        <f>+E53+E60+E67+E73+E80</f>
        <v/>
      </c>
      <c r="F52" s="30">
        <f>+F53+F60+F67+F73+F80</f>
        <v/>
      </c>
      <c r="G52" s="52">
        <f>+G53+G60+G67+G73+G80</f>
        <v/>
      </c>
      <c r="H52" s="30">
        <f>+H53+H60+H67+H73+H80</f>
        <v/>
      </c>
      <c r="I52" s="31">
        <f>+I53+I60+I67+I73+I80</f>
        <v/>
      </c>
      <c r="J52" s="30">
        <f>+J53+J60+J67+J73+J80</f>
        <v/>
      </c>
      <c r="K52" s="31">
        <f>+K53+K60+K67+K73+K80</f>
        <v/>
      </c>
      <c r="L52" s="30">
        <f>+L53+L60+L67+L73+L80</f>
        <v/>
      </c>
      <c r="M52" s="31">
        <f>+M53+M60+M67+M73+M80</f>
        <v/>
      </c>
    </row>
    <row r="53" ht="15.75" customHeight="1">
      <c r="A53" s="21" t="inlineStr">
        <is>
          <t>VENTA DE SERVICIOS</t>
        </is>
      </c>
      <c r="B53" s="22">
        <f>SUM(B54:B59)</f>
        <v/>
      </c>
      <c r="C53" s="23">
        <f>SUM(C54:C59)</f>
        <v/>
      </c>
      <c r="D53" s="22">
        <f>SUM(D54:D59)</f>
        <v/>
      </c>
      <c r="E53" s="23">
        <f>SUM(E54:E59)</f>
        <v/>
      </c>
      <c r="F53" s="22">
        <f>SUM(F54:F59)</f>
        <v/>
      </c>
      <c r="G53" s="53">
        <f>SUM(G54:G59)</f>
        <v/>
      </c>
      <c r="H53" s="22">
        <f>SUM(H54:H59)</f>
        <v/>
      </c>
      <c r="I53" s="23">
        <f>SUM(I54:I59)</f>
        <v/>
      </c>
      <c r="J53" s="22">
        <f>SUM(J54:J59)</f>
        <v/>
      </c>
      <c r="K53" s="23">
        <f>SUM(K54:K59)</f>
        <v/>
      </c>
      <c r="L53" s="22">
        <f>SUM(L54:L59)</f>
        <v/>
      </c>
      <c r="M53" s="23">
        <f>SUM(M54:M59)</f>
        <v/>
      </c>
    </row>
    <row r="54" outlineLevel="1" ht="15.75" customHeight="1">
      <c r="A54" s="24" t="inlineStr">
        <is>
          <t>Arrendamiento de bienes inmuebles</t>
        </is>
      </c>
      <c r="B54" s="25" t="n">
        <v>30097000</v>
      </c>
      <c r="C54" s="26" t="n">
        <v>60773000</v>
      </c>
      <c r="D54" s="25" t="n">
        <v>61268000</v>
      </c>
      <c r="E54" s="26" t="n">
        <v>56487000</v>
      </c>
      <c r="F54" s="25" t="n">
        <v>60268000</v>
      </c>
      <c r="G54" s="26" t="n">
        <v>105219386</v>
      </c>
      <c r="H54" s="25" t="n">
        <v>56072000</v>
      </c>
      <c r="I54" s="26" t="n">
        <v>97533772</v>
      </c>
      <c r="J54" s="25" t="n">
        <v>62307000</v>
      </c>
      <c r="K54" s="26" t="n">
        <v>10970417</v>
      </c>
      <c r="L54" s="25" t="n">
        <v>26667000</v>
      </c>
      <c r="M54" s="26" t="n">
        <v>5219258</v>
      </c>
    </row>
    <row r="55" outlineLevel="1" ht="15.75" customHeight="1">
      <c r="A55" s="24" t="inlineStr">
        <is>
          <t>Servicios de publicidad</t>
        </is>
      </c>
      <c r="B55" s="25" t="n">
        <v>454203000</v>
      </c>
      <c r="C55" s="26" t="n">
        <v>438100</v>
      </c>
      <c r="D55" s="25" t="n">
        <v>438335000</v>
      </c>
      <c r="E55" s="26" t="n">
        <v>42214731</v>
      </c>
      <c r="F55" s="25" t="n">
        <v>933197997</v>
      </c>
      <c r="G55" s="26" t="n">
        <v>910124128</v>
      </c>
      <c r="H55" s="25" t="n">
        <v>674337000</v>
      </c>
      <c r="I55" s="26" t="n">
        <v>617809207</v>
      </c>
      <c r="J55" s="25" t="n">
        <v>563388000</v>
      </c>
      <c r="K55" s="26" t="n">
        <v>50608590</v>
      </c>
      <c r="L55" s="25" t="n">
        <v>542600000</v>
      </c>
      <c r="M55" s="26" t="n">
        <v>83543920</v>
      </c>
    </row>
    <row r="56" outlineLevel="1" ht="15.75" customHeight="1">
      <c r="A56" s="24" t="inlineStr">
        <is>
          <t>Realización de programas radiales y de t.v.</t>
        </is>
      </c>
      <c r="B56" s="25" t="n">
        <v>29563000</v>
      </c>
      <c r="C56" s="26" t="n">
        <v>15121820</v>
      </c>
      <c r="D56" s="25" t="n">
        <v>13734000</v>
      </c>
      <c r="E56" s="26" t="n">
        <v>520000</v>
      </c>
      <c r="F56" s="25" t="n">
        <v>5494000</v>
      </c>
      <c r="G56" s="26" t="n">
        <v>10500000</v>
      </c>
      <c r="H56" s="25" t="n">
        <v>5494000</v>
      </c>
      <c r="I56" s="26" t="n">
        <v>9800000</v>
      </c>
      <c r="J56" s="25" t="n">
        <v>6867000</v>
      </c>
      <c r="K56" s="26" t="n">
        <v>0</v>
      </c>
      <c r="L56" s="25" t="n">
        <v>6867000</v>
      </c>
      <c r="M56" s="26" t="n">
        <v>0</v>
      </c>
    </row>
    <row r="57" outlineLevel="1" ht="15.75" customHeight="1">
      <c r="A57" s="24" t="inlineStr">
        <is>
          <t>Derechos de grado - pregrado</t>
        </is>
      </c>
      <c r="B57" s="25" t="n">
        <v>79060858</v>
      </c>
      <c r="C57" s="26" t="n">
        <v>260569149</v>
      </c>
      <c r="D57" s="25" t="n">
        <v>219340184</v>
      </c>
      <c r="E57" s="26" t="n">
        <v>446149373</v>
      </c>
      <c r="F57" s="25" t="n">
        <v>451000000</v>
      </c>
      <c r="G57" s="26" t="n">
        <v>652432169</v>
      </c>
      <c r="H57" s="25" t="n">
        <v>636508162</v>
      </c>
      <c r="I57" s="26" t="n">
        <v>1068446007</v>
      </c>
      <c r="J57" s="25" t="n">
        <v>844000000</v>
      </c>
      <c r="K57" s="26" t="n">
        <v>1203325069</v>
      </c>
      <c r="L57" s="25" t="n">
        <v>380219739</v>
      </c>
      <c r="M57" s="26" t="n">
        <v>936041090</v>
      </c>
    </row>
    <row r="58" outlineLevel="1" ht="15.75" customHeight="1">
      <c r="A58" s="24" t="inlineStr">
        <is>
          <t>Derechos de grado posgrado</t>
        </is>
      </c>
      <c r="B58" s="25" t="n">
        <v>883406108</v>
      </c>
      <c r="C58" s="26" t="n">
        <v>1400115524</v>
      </c>
      <c r="D58" s="25" t="n">
        <v>747529436</v>
      </c>
      <c r="E58" s="26" t="n">
        <v>1047425732</v>
      </c>
      <c r="F58" s="25" t="n">
        <v>490059147</v>
      </c>
      <c r="G58" s="26" t="n">
        <v>1029367258</v>
      </c>
      <c r="H58" s="25" t="n">
        <v>358314886</v>
      </c>
      <c r="I58" s="26" t="n">
        <v>2086041183</v>
      </c>
      <c r="J58" s="25" t="n">
        <v>942409556</v>
      </c>
      <c r="K58" s="26" t="n">
        <v>1350238556</v>
      </c>
      <c r="L58" s="25" t="n">
        <v>1877251500</v>
      </c>
      <c r="M58" s="26" t="n">
        <v>2445687000</v>
      </c>
    </row>
    <row r="59" outlineLevel="1" ht="15.75" customHeight="1">
      <c r="A59" s="24" t="inlineStr">
        <is>
          <t>Otros ingresos</t>
        </is>
      </c>
      <c r="B59" s="25" t="n">
        <v>6000000</v>
      </c>
      <c r="C59" s="26" t="n">
        <v>6218962</v>
      </c>
      <c r="D59" s="22" t="n">
        <v>253000</v>
      </c>
      <c r="E59" s="23" t="n">
        <v>5826766</v>
      </c>
      <c r="F59" s="22" t="n">
        <v>99642250</v>
      </c>
      <c r="G59" s="23" t="n">
        <v>11729705</v>
      </c>
      <c r="H59" s="22" t="n">
        <v>14695009</v>
      </c>
      <c r="I59" s="23" t="n">
        <v>8619422</v>
      </c>
      <c r="J59" s="22" t="n">
        <v>140000</v>
      </c>
      <c r="K59" s="23" t="n">
        <v>178500</v>
      </c>
      <c r="L59" s="22" t="n">
        <v>0</v>
      </c>
      <c r="M59" s="23" t="n">
        <v>19615781</v>
      </c>
    </row>
    <row r="60" ht="15.75" customHeight="1">
      <c r="A60" s="21" t="inlineStr">
        <is>
          <t>VENTA DE BIENES</t>
        </is>
      </c>
      <c r="B60" s="22">
        <f>SUM(B61:B66)</f>
        <v/>
      </c>
      <c r="C60" s="23">
        <f>SUM(C61:C66)</f>
        <v/>
      </c>
      <c r="D60" s="22">
        <f>SUM(D61:D66)</f>
        <v/>
      </c>
      <c r="E60" s="23">
        <f>SUM(E61:E66)</f>
        <v/>
      </c>
      <c r="F60" s="22">
        <f>SUM(F61:F66)</f>
        <v/>
      </c>
      <c r="G60" s="53">
        <f>SUM(G61:G66)</f>
        <v/>
      </c>
      <c r="H60" s="22">
        <f>SUM(H61:H66)</f>
        <v/>
      </c>
      <c r="I60" s="23">
        <f>SUM(I61:I66)</f>
        <v/>
      </c>
      <c r="J60" s="22">
        <f>SUM(J61:J66)</f>
        <v/>
      </c>
      <c r="K60" s="23">
        <f>SUM(K61:K66)</f>
        <v/>
      </c>
      <c r="L60" s="22">
        <f>SUM(L61:L66)</f>
        <v/>
      </c>
      <c r="M60" s="23">
        <f>SUM(M61:M66)</f>
        <v/>
      </c>
    </row>
    <row r="61" outlineLevel="1" ht="15.75" customHeight="1">
      <c r="A61" s="24" t="inlineStr">
        <is>
          <t>Venta de libros  y revistas  propios</t>
        </is>
      </c>
      <c r="B61" s="25" t="n">
        <v>62000000</v>
      </c>
      <c r="C61" s="26" t="n">
        <v>66889583</v>
      </c>
      <c r="D61" s="25" t="n">
        <v>56000000</v>
      </c>
      <c r="E61" s="26" t="n">
        <v>122680466</v>
      </c>
      <c r="F61" s="25" t="n">
        <v>109500000</v>
      </c>
      <c r="G61" s="26" t="n">
        <v>102716187</v>
      </c>
      <c r="H61" s="25" t="n">
        <v>113000000</v>
      </c>
      <c r="I61" s="26" t="n">
        <v>229162056</v>
      </c>
      <c r="J61" s="25" t="n">
        <v>183000000</v>
      </c>
      <c r="K61" s="26" t="n">
        <v>158411311</v>
      </c>
      <c r="L61" s="25" t="n">
        <v>165000000</v>
      </c>
      <c r="M61" s="26" t="n">
        <v>300515679</v>
      </c>
    </row>
    <row r="62" outlineLevel="1" ht="15.75" customHeight="1">
      <c r="A62" s="24" t="inlineStr">
        <is>
          <t>Edición e impresión de publicaciones</t>
        </is>
      </c>
      <c r="B62" s="25" t="n">
        <v>85500000</v>
      </c>
      <c r="C62" s="26" t="n">
        <v>0</v>
      </c>
      <c r="D62" s="25" t="n">
        <v>48100000</v>
      </c>
      <c r="E62" s="26" t="n">
        <v>29638900</v>
      </c>
      <c r="F62" s="25" t="n">
        <v>42000000</v>
      </c>
      <c r="G62" s="26" t="n">
        <v>29375685</v>
      </c>
      <c r="H62" s="25" t="n">
        <v>190000000</v>
      </c>
      <c r="I62" s="26" t="n">
        <v>192000000</v>
      </c>
      <c r="J62" s="25" t="n">
        <v>87000000</v>
      </c>
      <c r="K62" s="26" t="n">
        <v>80000000</v>
      </c>
      <c r="L62" s="25" t="n">
        <v>87000000</v>
      </c>
      <c r="M62" s="26" t="n">
        <v>27897000</v>
      </c>
    </row>
    <row r="63" outlineLevel="1" ht="15.75" customHeight="1">
      <c r="A63" s="24" t="inlineStr">
        <is>
          <t>Otros impresos y publicaciones</t>
        </is>
      </c>
      <c r="B63" s="25" t="n">
        <v>159500000</v>
      </c>
      <c r="C63" s="26" t="n">
        <v>107284353</v>
      </c>
      <c r="D63" s="25" t="n">
        <v>162500000</v>
      </c>
      <c r="E63" s="26" t="n">
        <v>93479700</v>
      </c>
      <c r="F63" s="25" t="n">
        <v>134000000</v>
      </c>
      <c r="G63" s="26" t="n">
        <v>167766696</v>
      </c>
      <c r="H63" s="25" t="n">
        <v>214000000</v>
      </c>
      <c r="I63" s="26" t="n">
        <v>74942577</v>
      </c>
      <c r="J63" s="25" t="n">
        <v>102000000</v>
      </c>
      <c r="K63" s="26" t="n">
        <v>4516194</v>
      </c>
      <c r="L63" s="25" t="n">
        <v>102000000</v>
      </c>
      <c r="M63" s="26" t="n">
        <v>1653500</v>
      </c>
    </row>
    <row r="64" outlineLevel="1" ht="15.75" customHeight="1">
      <c r="A64" s="24" t="inlineStr">
        <is>
          <t>Comisiones por venta de bienes de terceros</t>
        </is>
      </c>
      <c r="B64" s="25" t="n">
        <v>243000000</v>
      </c>
      <c r="C64" s="26" t="n">
        <v>277061868</v>
      </c>
      <c r="D64" s="25" t="n">
        <v>252000000</v>
      </c>
      <c r="E64" s="26" t="n">
        <v>182789812</v>
      </c>
      <c r="F64" s="25" t="n">
        <v>225000000</v>
      </c>
      <c r="G64" s="26" t="n">
        <v>236623062</v>
      </c>
      <c r="H64" s="25" t="n">
        <v>289406907</v>
      </c>
      <c r="I64" s="26" t="n">
        <v>333107800</v>
      </c>
      <c r="J64" s="25" t="n">
        <v>270000000</v>
      </c>
      <c r="K64" s="26" t="n">
        <v>54849669</v>
      </c>
      <c r="L64" s="25" t="n">
        <v>300000000</v>
      </c>
      <c r="M64" s="26" t="n">
        <v>111628073</v>
      </c>
    </row>
    <row r="65" outlineLevel="1" ht="15.75" customHeight="1">
      <c r="A65" s="24" t="inlineStr">
        <is>
          <t>Venta otros productos</t>
        </is>
      </c>
      <c r="B65" s="25" t="n">
        <v>5000000</v>
      </c>
      <c r="C65" s="26" t="n">
        <v>25388750</v>
      </c>
      <c r="D65" s="25" t="n">
        <v>14099000</v>
      </c>
      <c r="E65" s="26" t="n">
        <v>97835970</v>
      </c>
      <c r="F65" s="25" t="n">
        <v>28000000</v>
      </c>
      <c r="G65" s="26" t="n">
        <v>823800</v>
      </c>
      <c r="H65" s="25" t="n">
        <v>21392000</v>
      </c>
      <c r="I65" s="26" t="n">
        <v>0</v>
      </c>
      <c r="J65" s="25" t="n"/>
      <c r="K65" s="26" t="n"/>
      <c r="L65" s="25" t="n"/>
      <c r="M65" s="26" t="n"/>
    </row>
    <row r="66" outlineLevel="1" ht="15.75" customHeight="1">
      <c r="A66" s="24" t="inlineStr">
        <is>
          <t>Venta de derivados pecuarios</t>
        </is>
      </c>
      <c r="B66" s="25" t="n"/>
      <c r="C66" s="26" t="n"/>
      <c r="D66" s="25" t="n">
        <v>1000000</v>
      </c>
      <c r="E66" s="26" t="n">
        <v>1000000</v>
      </c>
      <c r="F66" s="25" t="n"/>
      <c r="G66" s="26" t="n"/>
      <c r="H66" s="25" t="n"/>
      <c r="I66" s="26" t="n"/>
      <c r="J66" s="25" t="n"/>
      <c r="K66" s="26" t="n"/>
      <c r="L66" s="25" t="n"/>
      <c r="M66" s="26" t="n"/>
    </row>
    <row r="67" ht="15.75" customHeight="1">
      <c r="A67" s="21" t="inlineStr">
        <is>
          <t>TRANSFERENCIAS OPERACIONES INTERNAS CON CONTRAPRESTACIÓN</t>
        </is>
      </c>
      <c r="B67" s="22">
        <f>SUM(B68:B72)</f>
        <v/>
      </c>
      <c r="C67" s="23">
        <f>SUM(C68:C72)</f>
        <v/>
      </c>
      <c r="D67" s="22">
        <f>SUM(D68:D72)</f>
        <v/>
      </c>
      <c r="E67" s="23">
        <f>SUM(E68:E72)</f>
        <v/>
      </c>
      <c r="F67" s="22">
        <f>SUM(F68:F72)</f>
        <v/>
      </c>
      <c r="G67" s="53">
        <f>SUM(G68:G72)</f>
        <v/>
      </c>
      <c r="H67" s="22">
        <f>SUM(H68:H72)</f>
        <v/>
      </c>
      <c r="I67" s="23">
        <f>SUM(I68:I72)</f>
        <v/>
      </c>
      <c r="J67" s="22">
        <f>SUM(J68:J72)</f>
        <v/>
      </c>
      <c r="K67" s="23">
        <f>SUM(K68:K72)</f>
        <v/>
      </c>
      <c r="L67" s="22">
        <f>SUM(L68:L72)</f>
        <v/>
      </c>
      <c r="M67" s="23">
        <f>SUM(M68:M72)</f>
        <v/>
      </c>
    </row>
    <row r="68" outlineLevel="1" ht="15.75" customHeight="1">
      <c r="A68" s="24" t="inlineStr">
        <is>
          <t>O.i  - venta de productos</t>
        </is>
      </c>
      <c r="B68" s="25" t="n">
        <v>400000000</v>
      </c>
      <c r="C68" s="26" t="n">
        <v>310033186</v>
      </c>
      <c r="D68" s="25" t="n">
        <v>48784000</v>
      </c>
      <c r="E68" s="26" t="n">
        <v>40891000</v>
      </c>
      <c r="F68" s="25" t="n">
        <v>68667000</v>
      </c>
      <c r="G68" s="26" t="n">
        <v>34903115</v>
      </c>
      <c r="H68" s="25" t="n">
        <v>20000000</v>
      </c>
      <c r="I68" s="26" t="n">
        <v>15092885</v>
      </c>
      <c r="J68" s="25" t="n">
        <v>10000000</v>
      </c>
      <c r="K68" s="26" t="n">
        <v>10548000</v>
      </c>
      <c r="L68" s="25" t="n">
        <v>10000000</v>
      </c>
      <c r="M68" s="26" t="n">
        <v>0</v>
      </c>
    </row>
    <row r="69" outlineLevel="1" ht="15.75" customHeight="1">
      <c r="A69" s="24" t="inlineStr">
        <is>
          <t>O.i. - venta   arrendamientos</t>
        </is>
      </c>
      <c r="B69" s="25" t="n">
        <v>89193398</v>
      </c>
      <c r="C69" s="26" t="n">
        <v>83660000</v>
      </c>
      <c r="D69" s="25" t="n">
        <v>86089000</v>
      </c>
      <c r="E69" s="26" t="n">
        <v>62272000</v>
      </c>
      <c r="F69" s="25" t="n">
        <v>45332000</v>
      </c>
      <c r="G69" s="26" t="n">
        <v>87726216</v>
      </c>
      <c r="H69" s="25" t="n">
        <v>81579000</v>
      </c>
      <c r="I69" s="26" t="n">
        <v>102105705</v>
      </c>
      <c r="J69" s="25" t="n">
        <v>74667000</v>
      </c>
      <c r="K69" s="26" t="n">
        <v>7045875</v>
      </c>
      <c r="L69" s="25" t="n">
        <v>26667000</v>
      </c>
      <c r="M69" s="26" t="n">
        <v>0</v>
      </c>
    </row>
    <row r="70" outlineLevel="1" ht="15.75" customHeight="1">
      <c r="A70" s="24" t="inlineStr">
        <is>
          <t>O.i. - venta  servicios de comunicación</t>
        </is>
      </c>
      <c r="B70" s="25" t="n">
        <v>676963602</v>
      </c>
      <c r="C70" s="26" t="n">
        <v>587436274</v>
      </c>
      <c r="D70" s="25" t="n">
        <v>445853000</v>
      </c>
      <c r="E70" s="26" t="n">
        <v>514596679</v>
      </c>
      <c r="F70" s="25" t="n">
        <v>407176000</v>
      </c>
      <c r="G70" s="26" t="n">
        <v>505672736</v>
      </c>
      <c r="H70" s="25" t="n">
        <v>344954000</v>
      </c>
      <c r="I70" s="26" t="n">
        <v>436283356</v>
      </c>
      <c r="J70" s="25" t="n">
        <v>320384000</v>
      </c>
      <c r="K70" s="26" t="n">
        <v>152881424</v>
      </c>
      <c r="L70" s="25" t="n">
        <v>260999000</v>
      </c>
      <c r="M70" s="26" t="n">
        <v>581748826</v>
      </c>
    </row>
    <row r="71" outlineLevel="1" ht="15.75" customHeight="1">
      <c r="A71" s="24" t="inlineStr">
        <is>
          <t>O.i. - venta  por  otros  servicios</t>
        </is>
      </c>
      <c r="B71" s="25" t="n">
        <v>214983375</v>
      </c>
      <c r="C71" s="26" t="n">
        <v>223774200</v>
      </c>
      <c r="D71" s="25" t="n">
        <v>35176100</v>
      </c>
      <c r="E71" s="26" t="n">
        <v>82153180</v>
      </c>
      <c r="F71" s="25" t="n">
        <v>64436000</v>
      </c>
      <c r="G71" s="26" t="n">
        <v>126129113</v>
      </c>
      <c r="H71" s="25" t="n">
        <v>45000000</v>
      </c>
      <c r="I71" s="26" t="n">
        <v>21020000</v>
      </c>
      <c r="J71" s="25" t="n">
        <v>0</v>
      </c>
      <c r="K71" s="26" t="n">
        <v>24295000</v>
      </c>
      <c r="L71" s="25" t="n">
        <v>0</v>
      </c>
      <c r="M71" s="26" t="n">
        <v>8217868</v>
      </c>
    </row>
    <row r="72" outlineLevel="1" ht="15.75" customHeight="1">
      <c r="A72" s="24" t="inlineStr">
        <is>
          <t>O.i. - venta  impresos y publicaciones</t>
        </is>
      </c>
      <c r="B72" s="25" t="n"/>
      <c r="C72" s="26" t="n"/>
      <c r="D72" s="25" t="n">
        <v>202000000</v>
      </c>
      <c r="E72" s="26" t="n">
        <v>114952645</v>
      </c>
      <c r="F72" s="25" t="n">
        <v>170000000</v>
      </c>
      <c r="G72" s="26" t="n">
        <v>228212541</v>
      </c>
      <c r="H72" s="25" t="n">
        <v>148678003</v>
      </c>
      <c r="I72" s="26" t="n">
        <v>225580627</v>
      </c>
      <c r="J72" s="25" t="n">
        <v>160000000</v>
      </c>
      <c r="K72" s="26" t="n">
        <v>187676123</v>
      </c>
      <c r="L72" s="25" t="n">
        <v>160000000</v>
      </c>
      <c r="M72" s="26" t="n">
        <v>517700384</v>
      </c>
    </row>
    <row r="73" ht="15.75" customHeight="1">
      <c r="A73" s="21" t="inlineStr">
        <is>
          <t>TRANSFERENCIAS OPERACIONES INTERNAS SIN CONTRAPRESTACIÓN</t>
        </is>
      </c>
      <c r="B73" s="22">
        <f>SUM(B74:B79)</f>
        <v/>
      </c>
      <c r="C73" s="23">
        <f>SUM(C74:C79)</f>
        <v/>
      </c>
      <c r="D73" s="22">
        <f>SUM(D74:D79)</f>
        <v/>
      </c>
      <c r="E73" s="23">
        <f>SUM(E74:E79)</f>
        <v/>
      </c>
      <c r="F73" s="22">
        <f>SUM(F74:F79)</f>
        <v/>
      </c>
      <c r="G73" s="53">
        <f>SUM(G74:G79)</f>
        <v/>
      </c>
      <c r="H73" s="22">
        <f>SUM(H74:H79)</f>
        <v/>
      </c>
      <c r="I73" s="23">
        <f>SUM(I74:I79)</f>
        <v/>
      </c>
      <c r="J73" s="22">
        <f>SUM(J74:J79)</f>
        <v/>
      </c>
      <c r="K73" s="23">
        <f>SUM(K74:K79)</f>
        <v/>
      </c>
      <c r="L73" s="22">
        <f>SUM(L74:L79)</f>
        <v/>
      </c>
      <c r="M73" s="23">
        <f>SUM(M74:M79)</f>
        <v/>
      </c>
    </row>
    <row r="74" outlineLevel="1" ht="15.75" customHeight="1">
      <c r="A74" s="24" t="inlineStr">
        <is>
          <t>Transferencias o.i. sin contraprestación</t>
        </is>
      </c>
      <c r="B74" s="25" t="n">
        <v>143200000</v>
      </c>
      <c r="C74" s="26" t="n">
        <v>20710000</v>
      </c>
      <c r="D74" s="25" t="n">
        <v>25000000</v>
      </c>
      <c r="E74" s="26" t="n">
        <v>45000000</v>
      </c>
      <c r="F74" s="25" t="n">
        <v>0</v>
      </c>
      <c r="G74" s="26" t="n">
        <v>111970010</v>
      </c>
      <c r="H74" s="25" t="n">
        <v>48000000</v>
      </c>
      <c r="I74" s="26" t="n">
        <v>48000000</v>
      </c>
      <c r="J74" s="25" t="n">
        <v>9659340</v>
      </c>
      <c r="K74" s="26" t="n">
        <v>10027000</v>
      </c>
      <c r="L74" s="25" t="n">
        <v>0</v>
      </c>
      <c r="M74" s="26" t="n">
        <v>5000000</v>
      </c>
    </row>
    <row r="75" outlineLevel="1" ht="15.75" customHeight="1">
      <c r="A75" s="24" t="inlineStr">
        <is>
          <t>Transferencias o.i. fondo nacional de extensión solidaria</t>
        </is>
      </c>
      <c r="B75" s="25" t="n">
        <v>1567022985</v>
      </c>
      <c r="C75" s="26" t="n">
        <v>1953200506</v>
      </c>
      <c r="D75" s="25" t="n">
        <v>0</v>
      </c>
      <c r="E75" s="26" t="n">
        <v>1780875151</v>
      </c>
      <c r="F75" s="25" t="n">
        <v>0</v>
      </c>
      <c r="G75" s="26" t="n">
        <v>1391983792</v>
      </c>
      <c r="H75" s="25" t="n">
        <v>0</v>
      </c>
      <c r="I75" s="26" t="n">
        <v>1478398839</v>
      </c>
      <c r="J75" s="25" t="n">
        <v>120000000</v>
      </c>
      <c r="K75" s="26" t="n">
        <v>1401270507</v>
      </c>
      <c r="L75" s="25" t="n">
        <v>0</v>
      </c>
      <c r="M75" s="26" t="n">
        <v>1728564829</v>
      </c>
    </row>
    <row r="76" outlineLevel="1" ht="15.75" customHeight="1">
      <c r="A76" s="24" t="inlineStr">
        <is>
          <t>Transferencias o.i. fondo de riesgos para la extensión</t>
        </is>
      </c>
      <c r="B76" s="25" t="n">
        <v>826411471</v>
      </c>
      <c r="C76" s="26" t="n">
        <v>960906656</v>
      </c>
      <c r="D76" s="25" t="n">
        <v>0</v>
      </c>
      <c r="E76" s="26" t="n">
        <v>867189767</v>
      </c>
      <c r="F76" s="25" t="n">
        <v>0</v>
      </c>
      <c r="G76" s="26" t="n">
        <v>692589202</v>
      </c>
      <c r="H76" s="25" t="n">
        <v>0</v>
      </c>
      <c r="I76" s="26" t="n">
        <v>723873894</v>
      </c>
      <c r="J76" s="25" t="n">
        <v>289372105</v>
      </c>
      <c r="K76" s="26" t="n">
        <v>683199893</v>
      </c>
      <c r="L76" s="25" t="n">
        <v>346710000</v>
      </c>
      <c r="M76" s="26" t="n">
        <v>845603730</v>
      </c>
    </row>
    <row r="77" outlineLevel="1" ht="15.75" customHeight="1">
      <c r="A77" s="24" t="inlineStr">
        <is>
          <t>Transferencias o.i. dirección nacional de extensión</t>
        </is>
      </c>
      <c r="B77" s="25" t="n">
        <v>826411471</v>
      </c>
      <c r="C77" s="26" t="n">
        <v>970214454</v>
      </c>
      <c r="D77" s="25" t="n">
        <v>0</v>
      </c>
      <c r="E77" s="26" t="n">
        <v>868449960</v>
      </c>
      <c r="F77" s="25" t="n">
        <v>0</v>
      </c>
      <c r="G77" s="26" t="n">
        <v>699721101</v>
      </c>
      <c r="H77" s="25" t="n">
        <v>0</v>
      </c>
      <c r="I77" s="26" t="n">
        <v>723961745</v>
      </c>
      <c r="J77" s="25" t="n">
        <v>455635986</v>
      </c>
      <c r="K77" s="26" t="n">
        <v>683757918</v>
      </c>
      <c r="L77" s="25" t="n">
        <v>487245420</v>
      </c>
      <c r="M77" s="26" t="n">
        <v>803897855</v>
      </c>
    </row>
    <row r="78" outlineLevel="1" ht="15.75" customHeight="1">
      <c r="A78" s="24" t="inlineStr">
        <is>
          <t>Transferencias o.i. excedentes por actividades generadoras de recursos</t>
        </is>
      </c>
      <c r="B78" s="25" t="n"/>
      <c r="C78" s="26" t="n"/>
      <c r="D78" s="25" t="n">
        <v>6000000</v>
      </c>
      <c r="E78" s="26" t="n">
        <v>1000000</v>
      </c>
      <c r="F78" s="25" t="n">
        <v>5000000</v>
      </c>
      <c r="G78" s="26" t="n">
        <v>5000000</v>
      </c>
      <c r="H78" s="25" t="n">
        <v>17500000</v>
      </c>
      <c r="I78" s="26" t="n">
        <v>12500000</v>
      </c>
      <c r="J78" s="25" t="n">
        <v>20000000</v>
      </c>
      <c r="K78" s="26" t="n">
        <v>20000000</v>
      </c>
      <c r="L78" s="25" t="n">
        <v>23900000</v>
      </c>
      <c r="M78" s="26" t="n">
        <v>51628440</v>
      </c>
    </row>
    <row r="79" outlineLevel="1" ht="15.75" customHeight="1">
      <c r="A79" s="24" t="inlineStr">
        <is>
          <t>Transferencias o.i. dirección académica</t>
        </is>
      </c>
      <c r="B79" s="25" t="n"/>
      <c r="C79" s="26" t="n"/>
      <c r="D79" s="25" t="n"/>
      <c r="E79" s="26" t="n"/>
      <c r="F79" s="25" t="n"/>
      <c r="G79" s="26" t="n"/>
      <c r="H79" s="25" t="n"/>
      <c r="I79" s="26" t="n"/>
      <c r="J79" s="25" t="n">
        <v>200000000</v>
      </c>
      <c r="K79" s="26" t="n">
        <v>200000000</v>
      </c>
      <c r="L79" s="25" t="n"/>
      <c r="M79" s="26" t="n"/>
    </row>
    <row r="80" ht="15.75" customHeight="1">
      <c r="A80" s="27" t="inlineStr">
        <is>
          <t>OTROS INGRESOS</t>
        </is>
      </c>
      <c r="B80" s="28" t="n">
        <v>1086965871</v>
      </c>
      <c r="C80" s="29" t="n">
        <v>859916603</v>
      </c>
      <c r="D80" s="28" t="n">
        <v>1086370531</v>
      </c>
      <c r="E80" s="29" t="n">
        <v>865754696</v>
      </c>
      <c r="F80" s="28" t="n">
        <v>698153767</v>
      </c>
      <c r="G80" s="29" t="n">
        <v>7824649</v>
      </c>
      <c r="H80" s="28" t="n">
        <v>85946089</v>
      </c>
      <c r="I80" s="29" t="n">
        <v>161110127</v>
      </c>
      <c r="J80" s="28" t="n">
        <v>83375000</v>
      </c>
      <c r="K80" s="29" t="n">
        <v>33886080</v>
      </c>
      <c r="L80" s="28" t="n">
        <v>119000000</v>
      </c>
      <c r="M80" s="29" t="n">
        <v>88714342</v>
      </c>
    </row>
    <row r="81" ht="15.75" customHeight="1">
      <c r="A81" s="18" t="inlineStr">
        <is>
          <t>2. Recursos de capital</t>
        </is>
      </c>
      <c r="B81" s="30">
        <f>+B82+B84+B89</f>
        <v/>
      </c>
      <c r="C81" s="31">
        <f>+C82+C84+C89</f>
        <v/>
      </c>
      <c r="D81" s="30">
        <f>+D82+D84+D89</f>
        <v/>
      </c>
      <c r="E81" s="31">
        <f>+E82+E84+E89</f>
        <v/>
      </c>
      <c r="F81" s="30">
        <f>+F82+F84+F89</f>
        <v/>
      </c>
      <c r="G81" s="31">
        <f>+G82+G84+G89</f>
        <v/>
      </c>
      <c r="H81" s="30">
        <f>+H82+H84+H89</f>
        <v/>
      </c>
      <c r="I81" s="31">
        <f>+I82+I84+I89</f>
        <v/>
      </c>
      <c r="J81" s="30">
        <f>+J82+J84+J89</f>
        <v/>
      </c>
      <c r="K81" s="31">
        <f>+K82+K84+K89</f>
        <v/>
      </c>
      <c r="L81" s="30">
        <f>+L82+L84+L89</f>
        <v/>
      </c>
      <c r="M81" s="31">
        <f>+M82+M84+M89</f>
        <v/>
      </c>
    </row>
    <row r="82" ht="15.75" customHeight="1">
      <c r="A82" s="21" t="inlineStr">
        <is>
          <t>RENDIMIENTOS FINANCIEROS</t>
        </is>
      </c>
      <c r="B82" s="22">
        <f>SUM(B83:B83)</f>
        <v/>
      </c>
      <c r="C82" s="23">
        <f>SUM(C83:C83)</f>
        <v/>
      </c>
      <c r="D82" s="22">
        <f>SUM(D83:D83)</f>
        <v/>
      </c>
      <c r="E82" s="23">
        <f>SUM(E83:E83)</f>
        <v/>
      </c>
      <c r="F82" s="22">
        <f>SUM(F83:F83)</f>
        <v/>
      </c>
      <c r="G82" s="23">
        <f>SUM(G83:G83)</f>
        <v/>
      </c>
      <c r="H82" s="22">
        <f>SUM(H83:H83)</f>
        <v/>
      </c>
      <c r="I82" s="23">
        <f>SUM(I83:I83)</f>
        <v/>
      </c>
      <c r="J82" s="22">
        <f>SUM(J83:J83)</f>
        <v/>
      </c>
      <c r="K82" s="23">
        <f>SUM(K83:K83)</f>
        <v/>
      </c>
      <c r="L82" s="22">
        <f>SUM(L83:L83)</f>
        <v/>
      </c>
      <c r="M82" s="23">
        <f>SUM(M83:M83)</f>
        <v/>
      </c>
    </row>
    <row r="83" outlineLevel="1" ht="15.75" customFormat="1" customHeight="1" s="33">
      <c r="A83" s="24" t="inlineStr">
        <is>
          <t>Rendimientos entidades finaniceras</t>
        </is>
      </c>
      <c r="B83" s="25" t="n">
        <v>206224000</v>
      </c>
      <c r="C83" s="26" t="n">
        <v>361922390</v>
      </c>
      <c r="D83" s="25" t="n">
        <v>282610000</v>
      </c>
      <c r="E83" s="26" t="n">
        <v>435227268</v>
      </c>
      <c r="F83" s="25" t="n">
        <v>416947012</v>
      </c>
      <c r="G83" s="26" t="n">
        <v>647257911</v>
      </c>
      <c r="H83" s="25" t="n">
        <v>1004087001</v>
      </c>
      <c r="I83" s="26" t="n">
        <v>1198944505</v>
      </c>
      <c r="J83" s="25" t="n">
        <v>640712000</v>
      </c>
      <c r="K83" s="26" t="n">
        <v>994439303</v>
      </c>
      <c r="L83" s="25" t="n">
        <v>464444938</v>
      </c>
      <c r="M83" s="26" t="n">
        <v>336764202</v>
      </c>
    </row>
    <row r="84" ht="15.75" customHeight="1">
      <c r="A84" s="21" t="inlineStr">
        <is>
          <t>EXCEDENTES FINANCIEROS</t>
        </is>
      </c>
      <c r="B84" s="22">
        <f>SUM(B85:B88)</f>
        <v/>
      </c>
      <c r="C84" s="23">
        <f>SUM(C85:C88)</f>
        <v/>
      </c>
      <c r="D84" s="22">
        <f>SUM(D85:D88)</f>
        <v/>
      </c>
      <c r="E84" s="23">
        <f>SUM(E85:E88)</f>
        <v/>
      </c>
      <c r="F84" s="22">
        <f>SUM(F85:F88)</f>
        <v/>
      </c>
      <c r="G84" s="23">
        <f>SUM(G85:G88)</f>
        <v/>
      </c>
      <c r="H84" s="22">
        <f>SUM(H85:H88)</f>
        <v/>
      </c>
      <c r="I84" s="23">
        <f>SUM(I85:I88)</f>
        <v/>
      </c>
      <c r="J84" s="22">
        <f>SUM(J85:J88)</f>
        <v/>
      </c>
      <c r="K84" s="23">
        <f>SUM(K85:K88)</f>
        <v/>
      </c>
      <c r="L84" s="22">
        <f>SUM(L85:L88)</f>
        <v/>
      </c>
      <c r="M84" s="23">
        <f>SUM(M85:M88)</f>
        <v/>
      </c>
    </row>
    <row r="85" outlineLevel="1" ht="15.75" customHeight="1">
      <c r="A85" s="24" t="inlineStr">
        <is>
          <t>Excedente financiero - destinación regulada</t>
        </is>
      </c>
      <c r="B85" s="25" t="n">
        <v>3796358659</v>
      </c>
      <c r="C85" s="26" t="n">
        <v>3796358659</v>
      </c>
      <c r="D85" s="25" t="n">
        <v>2681646479</v>
      </c>
      <c r="E85" s="26" t="n">
        <v>2681646479</v>
      </c>
      <c r="F85" s="25" t="n">
        <v>2209661232</v>
      </c>
      <c r="G85" s="26" t="n">
        <v>2209661232</v>
      </c>
      <c r="H85" s="25" t="n">
        <v>3609762463</v>
      </c>
      <c r="I85" s="26" t="n">
        <v>3609762463</v>
      </c>
      <c r="J85" s="25" t="n">
        <v>2308113273</v>
      </c>
      <c r="K85" s="26" t="n">
        <v>2216113273</v>
      </c>
      <c r="L85" s="25" t="n">
        <v>9007559801</v>
      </c>
      <c r="M85" s="26" t="n">
        <v>9007559801</v>
      </c>
    </row>
    <row r="86" outlineLevel="1" ht="15.75" customHeight="1">
      <c r="A86" s="24" t="inlineStr">
        <is>
          <t>Saldos de apropiación de convenios y contratos en ejecución</t>
        </is>
      </c>
      <c r="B86" s="25" t="n">
        <v>1533476655</v>
      </c>
      <c r="C86" s="26" t="n">
        <v>1180138126</v>
      </c>
      <c r="D86" s="25" t="n">
        <v>187412022</v>
      </c>
      <c r="E86" s="26" t="n">
        <v>187412022</v>
      </c>
      <c r="F86" s="25" t="n">
        <v>319320562</v>
      </c>
      <c r="G86" s="26" t="n">
        <v>220001781</v>
      </c>
      <c r="H86" s="25" t="n">
        <v>506964600</v>
      </c>
      <c r="I86" s="26" t="n">
        <v>97893015</v>
      </c>
      <c r="J86" s="25" t="n">
        <v>40415735</v>
      </c>
      <c r="K86" s="26" t="n">
        <v>0</v>
      </c>
      <c r="L86" s="25" t="n">
        <v>60466613</v>
      </c>
      <c r="M86" s="26" t="n">
        <v>60466613</v>
      </c>
    </row>
    <row r="87" outlineLevel="1" ht="15.75" customHeight="1">
      <c r="A87" s="24" t="inlineStr">
        <is>
          <t>Excedente del  fondo  nacional de  extensión solidaria y  del fondo de riesgos para la extensión</t>
        </is>
      </c>
      <c r="B87" s="25" t="n">
        <v>515776570</v>
      </c>
      <c r="C87" s="26" t="n">
        <v>515776570</v>
      </c>
      <c r="D87" s="25" t="n">
        <v>452518984</v>
      </c>
      <c r="E87" s="26" t="n">
        <v>452518984</v>
      </c>
      <c r="F87" s="25" t="n">
        <v>336580031</v>
      </c>
      <c r="G87" s="26" t="n">
        <v>336580160</v>
      </c>
      <c r="H87" s="25" t="n">
        <v>613772571</v>
      </c>
      <c r="I87" s="26" t="n">
        <v>613772571</v>
      </c>
      <c r="J87" s="25" t="n">
        <v>893877527</v>
      </c>
      <c r="K87" s="26" t="n">
        <v>893877527</v>
      </c>
      <c r="L87" s="25" t="n">
        <v>481043940</v>
      </c>
      <c r="M87" s="26" t="n">
        <v>464272987</v>
      </c>
    </row>
    <row r="88" outlineLevel="1" ht="15.75" customHeight="1">
      <c r="A88" s="24" t="inlineStr">
        <is>
          <t>EXCEDENTE FINANCIERO - ESPECÍFICA UGI FONDO</t>
        </is>
      </c>
      <c r="B88" s="25" t="n"/>
      <c r="C88" s="26" t="n"/>
      <c r="D88" s="25" t="n">
        <v>728922837</v>
      </c>
      <c r="E88" s="26" t="n">
        <v>728922837</v>
      </c>
      <c r="F88" s="25" t="n">
        <v>518050243</v>
      </c>
      <c r="G88" s="26" t="n">
        <v>518050243</v>
      </c>
      <c r="H88" s="25" t="n">
        <v>1235084000</v>
      </c>
      <c r="I88" s="26" t="n">
        <v>1235084000</v>
      </c>
      <c r="J88" s="25" t="n">
        <v>1939400000</v>
      </c>
      <c r="K88" s="26" t="n">
        <v>1939400000</v>
      </c>
      <c r="L88" s="25" t="n">
        <v>1777712793</v>
      </c>
      <c r="M88" s="26" t="n">
        <v>1777712793</v>
      </c>
    </row>
    <row r="89" ht="15.75" customHeight="1">
      <c r="A89" s="27" t="inlineStr">
        <is>
          <t xml:space="preserve">DONACIONES   </t>
        </is>
      </c>
      <c r="B89" s="28" t="n"/>
      <c r="C89" s="29" t="n"/>
      <c r="D89" s="28" t="n"/>
      <c r="E89" s="29" t="n"/>
      <c r="F89" s="28" t="n"/>
      <c r="G89" s="29" t="n"/>
      <c r="H89" s="28" t="n"/>
      <c r="I89" s="29" t="n"/>
      <c r="J89" s="28" t="n">
        <v>40000000</v>
      </c>
      <c r="K89" s="29" t="n">
        <v>274041404</v>
      </c>
      <c r="L89" s="28" t="n">
        <v>283106096</v>
      </c>
      <c r="M89" s="29" t="n">
        <v>23712976</v>
      </c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Lucio Muñoz Adarme</dc:creator>
  <dcterms:created xmlns:dcterms="http://purl.org/dc/terms/" xmlns:xsi="http://www.w3.org/2001/XMLSchema-instance" xsi:type="dcterms:W3CDTF">2024-12-12T04:47:49Z</dcterms:created>
  <dcterms:modified xmlns:dcterms="http://purl.org/dc/terms/" xmlns:xsi="http://www.w3.org/2001/XMLSchema-instance" xsi:type="dcterms:W3CDTF">2026-09-21T20:10:01Z</dcterms:modified>
  <cp:lastModifiedBy>Lucio Muñoz Adarme</cp:lastModifiedBy>
</cp:coreProperties>
</file>