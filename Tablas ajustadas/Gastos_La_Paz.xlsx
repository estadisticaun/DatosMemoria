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4" fontId="1" fillId="0" borderId="0"/>
  </cellStyleXfs>
  <cellXfs count="64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3" borderId="6" pivotButton="0" quotePrefix="0" xfId="0"/>
    <xf numFmtId="164" fontId="5" fillId="3" borderId="6" pivotButton="0" quotePrefix="0" xfId="0"/>
    <xf numFmtId="164" fontId="5" fillId="3" borderId="7" pivotButton="0" quotePrefix="0" xfId="0"/>
    <xf numFmtId="0" fontId="6" fillId="4" borderId="6" pivotButton="0" quotePrefix="1" xfId="0"/>
    <xf numFmtId="164" fontId="6" fillId="4" borderId="6" pivotButton="0" quotePrefix="0" xfId="0"/>
    <xf numFmtId="164" fontId="6" fillId="4" borderId="7" pivotButton="0" quotePrefix="0" xfId="0"/>
    <xf numFmtId="0" fontId="3" fillId="5" borderId="4" pivotButton="0" quotePrefix="0" xfId="0"/>
    <xf numFmtId="164" fontId="3" fillId="5" borderId="6" pivotButton="0" quotePrefix="0" xfId="0"/>
    <xf numFmtId="164" fontId="3" fillId="5" borderId="1" pivotButton="0" quotePrefix="0" xfId="0"/>
    <xf numFmtId="164" fontId="3" fillId="5" borderId="7" pivotButton="0" quotePrefix="0" xfId="0"/>
    <xf numFmtId="0" fontId="0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164" fontId="0" fillId="0" borderId="8" pivotButton="0" quotePrefix="0" xfId="0"/>
    <xf numFmtId="164" fontId="0" fillId="0" borderId="3" pivotButton="0" quotePrefix="0" xfId="0"/>
    <xf numFmtId="0" fontId="0" fillId="0" borderId="9" applyAlignment="1" pivotButton="0" quotePrefix="0" xfId="0">
      <alignment horizontal="left" indent="3"/>
    </xf>
    <xf numFmtId="0" fontId="0" fillId="0" borderId="9" pivotButton="0" quotePrefix="0" xfId="0"/>
    <xf numFmtId="0" fontId="0" fillId="0" borderId="10" pivotButton="0" quotePrefix="0" xfId="0"/>
    <xf numFmtId="164" fontId="0" fillId="0" borderId="0" applyAlignment="1" pivotButton="0" quotePrefix="0" xfId="1">
      <alignment horizontal="left" indent="3"/>
    </xf>
    <xf numFmtId="164" fontId="0" fillId="0" borderId="9" applyAlignment="1" pivotButton="0" quotePrefix="0" xfId="1">
      <alignment horizontal="left" indent="3"/>
    </xf>
    <xf numFmtId="164" fontId="0" fillId="0" borderId="10" applyAlignment="1" pivotButton="0" quotePrefix="0" xfId="1">
      <alignment horizontal="left" indent="3"/>
    </xf>
    <xf numFmtId="164" fontId="0" fillId="0" borderId="9" pivotButton="0" quotePrefix="0" xfId="0"/>
    <xf numFmtId="164" fontId="0" fillId="0" borderId="0" pivotButton="0" quotePrefix="0" xfId="0"/>
    <xf numFmtId="164" fontId="0" fillId="0" borderId="10" pivotButton="0" quotePrefix="0" xfId="0"/>
    <xf numFmtId="164" fontId="0" fillId="0" borderId="0" applyAlignment="1" pivotButton="0" quotePrefix="0" xfId="0">
      <alignment horizontal="left" indent="3"/>
    </xf>
    <xf numFmtId="164" fontId="0" fillId="0" borderId="9" applyAlignment="1" pivotButton="0" quotePrefix="0" xfId="0">
      <alignment horizontal="left" indent="3"/>
    </xf>
    <xf numFmtId="164" fontId="0" fillId="0" borderId="1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3"/>
    </xf>
    <xf numFmtId="0" fontId="0" fillId="0" borderId="4" pivotButton="0" quotePrefix="0" xfId="0"/>
    <xf numFmtId="164" fontId="0" fillId="0" borderId="4" pivotButton="0" quotePrefix="0" xfId="0"/>
    <xf numFmtId="0" fontId="0" fillId="0" borderId="5" pivotButton="0" quotePrefix="0" xfId="0"/>
    <xf numFmtId="164" fontId="0" fillId="0" borderId="1" pivotButton="0" quotePrefix="0" xfId="0"/>
    <xf numFmtId="164" fontId="0" fillId="0" borderId="5" pivotButton="0" quotePrefix="0" xfId="0"/>
    <xf numFmtId="164" fontId="3" fillId="5" borderId="4" pivotButton="0" quotePrefix="0" xfId="0"/>
    <xf numFmtId="164" fontId="3" fillId="5" borderId="5" pivotButton="0" quotePrefix="0" xfId="0"/>
    <xf numFmtId="0" fontId="0" fillId="0" borderId="11" pivotButton="0" quotePrefix="0" xfId="0"/>
    <xf numFmtId="164" fontId="0" fillId="0" borderId="9" pivotButton="0" quotePrefix="0" xfId="1"/>
    <xf numFmtId="164" fontId="0" fillId="0" borderId="10" pivotButton="0" quotePrefix="0" xfId="1"/>
    <xf numFmtId="164" fontId="0" fillId="0" borderId="0" pivotButton="0" quotePrefix="0" xfId="1"/>
    <xf numFmtId="0" fontId="0" fillId="0" borderId="12" applyAlignment="1" pivotButton="0" quotePrefix="0" xfId="0">
      <alignment horizontal="left" indent="3"/>
    </xf>
    <xf numFmtId="0" fontId="0" fillId="0" borderId="12" pivotButton="0" quotePrefix="0" xfId="0"/>
    <xf numFmtId="0" fontId="0" fillId="0" borderId="12" applyAlignment="1" pivotButton="0" quotePrefix="0" xfId="0">
      <alignment horizontal="left" vertical="center" wrapText="1" indent="3"/>
    </xf>
    <xf numFmtId="164" fontId="0" fillId="0" borderId="9" applyAlignment="1" pivotButton="0" quotePrefix="0" xfId="1">
      <alignment horizontal="left" vertical="center" wrapText="1" indent="3"/>
    </xf>
    <xf numFmtId="0" fontId="0" fillId="0" borderId="10" applyAlignment="1" pivotButton="0" quotePrefix="0" xfId="0">
      <alignment horizontal="left" indent="3"/>
    </xf>
    <xf numFmtId="0" fontId="0" fillId="0" borderId="13" applyAlignment="1" pivotButton="0" quotePrefix="0" xfId="0">
      <alignment horizontal="left" indent="3"/>
    </xf>
    <xf numFmtId="164" fontId="6" fillId="4" borderId="14" pivotButton="0" quotePrefix="0" xfId="0"/>
    <xf numFmtId="0" fontId="0" fillId="0" borderId="8" pivotButton="0" quotePrefix="0" xfId="0"/>
    <xf numFmtId="164" fontId="0" fillId="0" borderId="8" applyAlignment="1" pivotButton="0" quotePrefix="0" xfId="1">
      <alignment vertical="center" wrapText="1"/>
    </xf>
    <xf numFmtId="164" fontId="0" fillId="0" borderId="3" applyAlignment="1" pivotButton="0" quotePrefix="0" xfId="1">
      <alignment vertical="center" wrapText="1"/>
    </xf>
    <xf numFmtId="164" fontId="0" fillId="0" borderId="0" applyAlignment="1" pivotButton="0" quotePrefix="0" xfId="1">
      <alignment vertical="center" wrapText="1"/>
    </xf>
    <xf numFmtId="164" fontId="0" fillId="0" borderId="10" applyAlignment="1" pivotButton="0" quotePrefix="0" xfId="1">
      <alignment vertical="center" wrapText="1"/>
    </xf>
    <xf numFmtId="0" fontId="0" fillId="0" borderId="4" applyAlignment="1" pivotButton="0" quotePrefix="0" xfId="0">
      <alignment horizontal="left" vertical="center" wrapText="1" indent="3"/>
    </xf>
    <xf numFmtId="0" fontId="0" fillId="0" borderId="1" pivotButton="0" quotePrefix="0" xfId="0"/>
    <xf numFmtId="164" fontId="0" fillId="0" borderId="1" applyAlignment="1" pivotButton="0" quotePrefix="0" xfId="1">
      <alignment horizontal="left" vertical="center" wrapText="1" indent="3"/>
    </xf>
    <xf numFmtId="0" fontId="2" fillId="2" borderId="6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tabSelected="1" workbookViewId="0">
      <selection activeCell="C7" sqref="C7"/>
    </sheetView>
  </sheetViews>
  <sheetFormatPr baseColWidth="10" defaultColWidth="0" defaultRowHeight="15" zeroHeight="1" outlineLevelRow="1"/>
  <cols>
    <col width="41" customWidth="1" min="1" max="1"/>
    <col width="23" bestFit="1" customWidth="1" min="2" max="2"/>
    <col width="21.5703125" bestFit="1" customWidth="1" min="3" max="3"/>
    <col width="23" bestFit="1" customWidth="1" min="4" max="4"/>
    <col width="21.5703125" bestFit="1" customWidth="1" min="5" max="5"/>
    <col width="23" bestFit="1" customWidth="1" min="6" max="9"/>
    <col hidden="1" width="11.42578125" customWidth="1" min="21" max="16384"/>
  </cols>
  <sheetData>
    <row r="1">
      <c r="A1" s="2" t="inlineStr">
        <is>
          <t>UNIDAD GESTION GENERAL SEDE LA PAZ</t>
        </is>
      </c>
    </row>
    <row r="2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</row>
    <row r="3">
      <c r="A3" s="62" t="inlineStr">
        <is>
          <t>CONCEPTO</t>
        </is>
      </c>
      <c r="B3" s="63" t="n">
        <v>2018</v>
      </c>
      <c r="C3" s="20" t="n"/>
      <c r="D3" s="63" t="n">
        <v>2019</v>
      </c>
      <c r="E3" s="20" t="n"/>
      <c r="F3" s="63" t="n">
        <v>2020</v>
      </c>
      <c r="G3" s="20" t="n"/>
      <c r="H3" s="63" t="n">
        <v>2021</v>
      </c>
      <c r="I3" s="20" t="n"/>
    </row>
    <row r="4">
      <c r="A4" s="36" t="n"/>
      <c r="B4" s="6" t="inlineStr">
        <is>
          <t>Apropiación definitiva</t>
        </is>
      </c>
      <c r="C4" s="7" t="inlineStr">
        <is>
          <t>Registro</t>
        </is>
      </c>
      <c r="D4" s="6" t="inlineStr">
        <is>
          <t>Apropiación definitiva</t>
        </is>
      </c>
      <c r="E4" s="7" t="inlineStr">
        <is>
          <t>Registro</t>
        </is>
      </c>
      <c r="F4" s="6" t="inlineStr">
        <is>
          <t>Apropiación definitiva</t>
        </is>
      </c>
      <c r="G4" s="7" t="inlineStr">
        <is>
          <t>Registro</t>
        </is>
      </c>
      <c r="H4" s="6" t="inlineStr">
        <is>
          <t>Apropiación definitiva</t>
        </is>
      </c>
      <c r="I4" s="7" t="inlineStr">
        <is>
          <t>Registro</t>
        </is>
      </c>
    </row>
    <row r="5" ht="18.75" customHeight="1">
      <c r="A5" s="8" t="inlineStr">
        <is>
          <t>GESTIÓN GENERAL</t>
        </is>
      </c>
      <c r="B5" s="9">
        <f>+B6+B56</f>
        <v/>
      </c>
      <c r="C5" s="10">
        <f>+C6+C56</f>
        <v/>
      </c>
      <c r="D5" s="9">
        <f>+D6+D56</f>
        <v/>
      </c>
      <c r="E5" s="10">
        <f>+E6+E56</f>
        <v/>
      </c>
      <c r="F5" s="9">
        <f>+F6+F56</f>
        <v/>
      </c>
      <c r="G5" s="10">
        <f>+G6+G56</f>
        <v/>
      </c>
      <c r="H5" s="9">
        <f>+H6+H56</f>
        <v/>
      </c>
      <c r="I5" s="10">
        <f>+I6+I56</f>
        <v/>
      </c>
    </row>
    <row r="6" ht="15.75" customHeight="1">
      <c r="A6" s="11" t="inlineStr">
        <is>
          <t>- NIVEL CENTRAL</t>
        </is>
      </c>
      <c r="B6" s="12">
        <f>+B7+B26</f>
        <v/>
      </c>
      <c r="C6" s="13">
        <f>+C7+C26</f>
        <v/>
      </c>
      <c r="D6" s="12">
        <f>+D7+D26</f>
        <v/>
      </c>
      <c r="E6" s="13">
        <f>+E7+E26</f>
        <v/>
      </c>
      <c r="F6" s="12">
        <f>+F7+F26</f>
        <v/>
      </c>
      <c r="G6" s="13">
        <f>+G7+G26</f>
        <v/>
      </c>
      <c r="H6" s="12">
        <f>+H7+H26</f>
        <v/>
      </c>
      <c r="I6" s="13">
        <f>+I7+I26</f>
        <v/>
      </c>
    </row>
    <row r="7">
      <c r="A7" s="14" t="inlineStr">
        <is>
          <t xml:space="preserve">I. Funcionamiento </t>
        </is>
      </c>
      <c r="B7" s="15">
        <f>+B8+B15+B21+B25</f>
        <v/>
      </c>
      <c r="C7" s="16">
        <f>+C8+C15+C21+C25</f>
        <v/>
      </c>
      <c r="D7" s="15">
        <f>+D8+D15+D21+D25</f>
        <v/>
      </c>
      <c r="E7" s="16">
        <f>+E8+E15+E21+E25</f>
        <v/>
      </c>
      <c r="F7" s="15">
        <f>+F8+F15+F21+F25</f>
        <v/>
      </c>
      <c r="G7" s="16">
        <f>+G8+G15+G21+G25</f>
        <v/>
      </c>
      <c r="H7" s="15">
        <f>+H8+H15+H21+H25</f>
        <v/>
      </c>
      <c r="I7" s="17">
        <f>+I8+I15+I21+I25</f>
        <v/>
      </c>
    </row>
    <row r="8">
      <c r="A8" s="18" t="inlineStr">
        <is>
          <t>GASTOS DE PERSONAL</t>
        </is>
      </c>
      <c r="B8" s="19" t="n"/>
      <c r="C8" s="20" t="n"/>
      <c r="D8" s="21">
        <f>SUM(D9:D14)</f>
        <v/>
      </c>
      <c r="E8" s="21">
        <f>SUM(E9:E14)</f>
        <v/>
      </c>
      <c r="F8" s="19">
        <f>SUM(F9:F14)</f>
        <v/>
      </c>
      <c r="G8" s="21">
        <f>SUM(G9:G14)</f>
        <v/>
      </c>
      <c r="H8" s="19">
        <f>SUM(H9:H14)</f>
        <v/>
      </c>
      <c r="I8" s="22">
        <f>SUM(I9:I14)</f>
        <v/>
      </c>
    </row>
    <row r="9" outlineLevel="1" ht="15.75" customHeight="1">
      <c r="A9" s="23" t="inlineStr">
        <is>
          <t>SERVICIOS PERSONALES ASOCIADOS A NOMINA</t>
        </is>
      </c>
      <c r="B9" s="24" t="n"/>
      <c r="C9" s="25" t="n"/>
      <c r="D9" s="26" t="n">
        <v>2554815900</v>
      </c>
      <c r="E9" s="26" t="n">
        <v>1072734985</v>
      </c>
      <c r="F9" s="27" t="n">
        <v>3598616679</v>
      </c>
      <c r="G9" s="26" t="n">
        <v>2946649728</v>
      </c>
      <c r="H9" s="27" t="n">
        <v>3679569583</v>
      </c>
      <c r="I9" s="28" t="n">
        <v>3580309913</v>
      </c>
    </row>
    <row r="10" outlineLevel="1" ht="15.75" customHeight="1">
      <c r="A10" s="23" t="inlineStr">
        <is>
          <t>BONIFICACIONES</t>
        </is>
      </c>
      <c r="B10" s="24" t="n"/>
      <c r="C10" s="25" t="n"/>
      <c r="D10" s="26" t="n">
        <v>204107400</v>
      </c>
      <c r="E10" s="26" t="n">
        <v>73113711</v>
      </c>
      <c r="F10" s="27" t="n">
        <v>421184797</v>
      </c>
      <c r="G10" s="26" t="n">
        <v>161059984</v>
      </c>
      <c r="H10" s="27" t="n">
        <v>286206049</v>
      </c>
      <c r="I10" s="28" t="n">
        <v>229262610</v>
      </c>
    </row>
    <row r="11" outlineLevel="1" ht="15.75" customHeight="1">
      <c r="A11" s="23" t="inlineStr">
        <is>
          <t>PRIMAS</t>
        </is>
      </c>
      <c r="B11" s="24" t="n"/>
      <c r="C11" s="25" t="n"/>
      <c r="D11" s="26" t="n">
        <v>546135600</v>
      </c>
      <c r="E11" s="26" t="n">
        <v>345689392</v>
      </c>
      <c r="F11" s="27" t="n">
        <v>1220453165</v>
      </c>
      <c r="G11" s="26" t="n">
        <v>677842147</v>
      </c>
      <c r="H11" s="27" t="n">
        <v>1099255380</v>
      </c>
      <c r="I11" s="28" t="n">
        <v>840654424</v>
      </c>
    </row>
    <row r="12" outlineLevel="1" ht="15.75" customHeight="1">
      <c r="A12" s="23" t="inlineStr">
        <is>
          <t>SERVICIOS PERSONALES INDIRECTOS</t>
        </is>
      </c>
      <c r="B12" s="24" t="n"/>
      <c r="C12" s="25" t="n"/>
      <c r="D12" s="26" t="n">
        <v>540906100</v>
      </c>
      <c r="E12" s="26" t="n">
        <v>383204304</v>
      </c>
      <c r="F12" s="27" t="n">
        <v>2229308400</v>
      </c>
      <c r="G12" s="26" t="n">
        <v>1661550714</v>
      </c>
      <c r="H12" s="27" t="n">
        <v>3745795466</v>
      </c>
      <c r="I12" s="28" t="n">
        <v>3176031993</v>
      </c>
    </row>
    <row r="13" outlineLevel="1" ht="15.75" customHeight="1">
      <c r="A13" s="23" t="inlineStr">
        <is>
          <t>CONTRIBUCIONES INHERENTES A LA NOMINA - SECTOR PRIVADO</t>
        </is>
      </c>
      <c r="B13" s="24" t="n"/>
      <c r="C13" s="25" t="n"/>
      <c r="D13" s="26" t="n">
        <v>456074400</v>
      </c>
      <c r="E13" s="26" t="n">
        <v>91302341</v>
      </c>
      <c r="F13" s="27" t="n">
        <v>532426530</v>
      </c>
      <c r="G13" s="26" t="n">
        <v>267782581</v>
      </c>
      <c r="H13" s="27" t="n">
        <v>514998635</v>
      </c>
      <c r="I13" s="28" t="n">
        <v>452360567</v>
      </c>
    </row>
    <row r="14" outlineLevel="1" ht="15.75" customHeight="1">
      <c r="A14" s="23" t="inlineStr">
        <is>
          <t>CONTRIBUCIONES INHERENTES A LA NOMINA - SECTOR PÚBLICO</t>
        </is>
      </c>
      <c r="B14" s="24" t="n"/>
      <c r="C14" s="25" t="n"/>
      <c r="D14" s="26" t="n">
        <v>618457200</v>
      </c>
      <c r="E14" s="26" t="n">
        <v>187875427</v>
      </c>
      <c r="F14" s="27" t="n">
        <v>863753965</v>
      </c>
      <c r="G14" s="26" t="n">
        <v>595973432</v>
      </c>
      <c r="H14" s="27" t="n">
        <v>792361940</v>
      </c>
      <c r="I14" s="28" t="n">
        <v>607086351</v>
      </c>
    </row>
    <row r="15" ht="15.75" customHeight="1">
      <c r="A15" s="24" t="inlineStr">
        <is>
          <t>GASTOS GENERALES</t>
        </is>
      </c>
      <c r="B15" s="29" t="n"/>
      <c r="C15" s="25" t="n"/>
      <c r="D15" s="30">
        <f>SUM(D16:D20)</f>
        <v/>
      </c>
      <c r="E15" s="30">
        <f>SUM(E16:E20)</f>
        <v/>
      </c>
      <c r="F15" s="29">
        <f>SUM(F16:F20)</f>
        <v/>
      </c>
      <c r="G15" s="30">
        <f>SUM(G16:G20)</f>
        <v/>
      </c>
      <c r="H15" s="29">
        <f>SUM(H16:H20)</f>
        <v/>
      </c>
      <c r="I15" s="31">
        <f>SUM(I16:I20)</f>
        <v/>
      </c>
    </row>
    <row r="16" outlineLevel="1" ht="15.75" customHeight="1">
      <c r="A16" s="23" t="inlineStr">
        <is>
          <t>ADQUISICIÓN DE BIENES</t>
        </is>
      </c>
      <c r="B16" s="24" t="n"/>
      <c r="C16" s="25" t="n"/>
      <c r="D16" s="32" t="n">
        <v>1196950000</v>
      </c>
      <c r="E16" s="26" t="n">
        <v>189786046</v>
      </c>
      <c r="F16" s="33" t="n">
        <v>4128046234</v>
      </c>
      <c r="G16" s="32" t="n">
        <v>2135259153</v>
      </c>
      <c r="H16" s="33" t="n">
        <v>4544797160</v>
      </c>
      <c r="I16" s="34" t="n">
        <v>2672224974</v>
      </c>
    </row>
    <row r="17" outlineLevel="1" ht="15.75" customHeight="1">
      <c r="A17" s="23" t="inlineStr">
        <is>
          <t>ADQUISICIÓN DE SERVICIOS</t>
        </is>
      </c>
      <c r="B17" s="24" t="n"/>
      <c r="C17" s="25" t="n"/>
      <c r="D17" s="32" t="n">
        <v>4349454500</v>
      </c>
      <c r="E17" s="26" t="n">
        <v>1741093334</v>
      </c>
      <c r="F17" s="33" t="n">
        <v>6863816700</v>
      </c>
      <c r="G17" s="32" t="n">
        <v>2674495910</v>
      </c>
      <c r="H17" s="33" t="n">
        <v>6361999404</v>
      </c>
      <c r="I17" s="34" t="n">
        <v>3907658452</v>
      </c>
    </row>
    <row r="18" outlineLevel="1" ht="15.75" customHeight="1">
      <c r="A18" s="23" t="inlineStr">
        <is>
          <t>IMPUESTOS, CONTRIBUCIONES Y MULTAS</t>
        </is>
      </c>
      <c r="B18" s="24" t="n"/>
      <c r="C18" s="25" t="n"/>
      <c r="D18" s="32" t="n">
        <v>206000000</v>
      </c>
      <c r="E18" s="26" t="n">
        <v>8358306</v>
      </c>
      <c r="F18" s="33" t="n">
        <v>300000000</v>
      </c>
      <c r="G18" s="32" t="n">
        <v>0</v>
      </c>
      <c r="H18" s="33" t="n">
        <v>200000000</v>
      </c>
      <c r="I18" s="34" t="n">
        <v>7082083</v>
      </c>
    </row>
    <row r="19" outlineLevel="1" ht="15.75" customHeight="1">
      <c r="A19" s="23" t="inlineStr">
        <is>
          <t>OPERACIONES INTERNAS POR ADQUISICION DE SERVICIOS</t>
        </is>
      </c>
      <c r="B19" s="24" t="n"/>
      <c r="C19" s="25" t="n"/>
      <c r="D19" s="32" t="n"/>
      <c r="E19" s="35" t="n"/>
      <c r="F19" s="33" t="n">
        <v>301200</v>
      </c>
      <c r="G19" s="32" t="n">
        <v>301200</v>
      </c>
      <c r="H19" s="33" t="n">
        <v>67969867</v>
      </c>
      <c r="I19" s="34" t="n">
        <v>26545760</v>
      </c>
    </row>
    <row r="20" outlineLevel="1" ht="15.75" customHeight="1">
      <c r="A20" s="23" t="inlineStr">
        <is>
          <t>OPERACIONES INTERNAS POR ADQUISICION DE BIENES</t>
        </is>
      </c>
      <c r="B20" s="24" t="n"/>
      <c r="C20" s="25" t="n"/>
      <c r="D20" s="32" t="n"/>
      <c r="E20" s="35" t="n"/>
      <c r="F20" s="33" t="n"/>
      <c r="G20" s="32" t="n"/>
      <c r="H20" s="33" t="n">
        <v>6806116</v>
      </c>
      <c r="I20" s="34" t="n">
        <v>6806116</v>
      </c>
    </row>
    <row r="21" ht="15.75" customHeight="1">
      <c r="A21" s="24" t="inlineStr">
        <is>
          <t>TRANSFERENCIAS</t>
        </is>
      </c>
      <c r="B21" s="29" t="n"/>
      <c r="C21" s="25" t="n"/>
      <c r="D21" s="30">
        <f>SUM(D22:D24)</f>
        <v/>
      </c>
      <c r="E21" s="30">
        <f>SUM(E22:E24)</f>
        <v/>
      </c>
      <c r="F21" s="29">
        <f>SUM(F22:F24)</f>
        <v/>
      </c>
      <c r="G21" s="30">
        <f>SUM(G22:G24)</f>
        <v/>
      </c>
      <c r="H21" s="29">
        <f>SUM(H22:H24)</f>
        <v/>
      </c>
      <c r="I21" s="31">
        <f>SUM(I22:I24)</f>
        <v/>
      </c>
    </row>
    <row r="22" outlineLevel="1" ht="15.75" customHeight="1">
      <c r="A22" s="23" t="inlineStr">
        <is>
          <t>BIENESTAR ESTUDIANTES</t>
        </is>
      </c>
      <c r="B22" s="24" t="n"/>
      <c r="C22" s="25" t="n"/>
      <c r="D22" s="32" t="n">
        <v>814000000</v>
      </c>
      <c r="E22" s="26" t="n">
        <v>137106482</v>
      </c>
      <c r="F22" s="33" t="n">
        <v>1052950000</v>
      </c>
      <c r="G22" s="32" t="n">
        <v>427352907</v>
      </c>
      <c r="H22" s="33" t="n">
        <v>636527092</v>
      </c>
      <c r="I22" s="34" t="n">
        <v>609251267</v>
      </c>
    </row>
    <row r="23" outlineLevel="1" ht="15.75" customHeight="1">
      <c r="A23" s="23" t="inlineStr">
        <is>
          <t>BIENESTAR EMPLEADOS UN</t>
        </is>
      </c>
      <c r="B23" s="24" t="n"/>
      <c r="C23" s="25" t="n"/>
      <c r="D23" s="32" t="n">
        <v>59000000</v>
      </c>
      <c r="E23" s="26" t="n">
        <v>0</v>
      </c>
      <c r="F23" s="33" t="n">
        <v>120000000</v>
      </c>
      <c r="G23" s="32" t="n">
        <v>0</v>
      </c>
      <c r="H23" s="33" t="n">
        <v>20000000</v>
      </c>
      <c r="I23" s="34" t="n">
        <v>16980692</v>
      </c>
    </row>
    <row r="24" outlineLevel="1" ht="15.75" customHeight="1">
      <c r="A24" s="23" t="inlineStr">
        <is>
          <t>TRANSFERENCIAS OPERACIONES INTERNAS SIN CONTRAPRESTACIÓN</t>
        </is>
      </c>
      <c r="B24" s="24" t="n"/>
      <c r="C24" s="25" t="n"/>
      <c r="D24" s="32" t="n">
        <v>20080000</v>
      </c>
      <c r="E24" s="26" t="n">
        <v>20080000</v>
      </c>
      <c r="F24" s="33" t="n">
        <v>499698800</v>
      </c>
      <c r="G24" s="32" t="n">
        <v>0</v>
      </c>
      <c r="H24" s="33" t="n"/>
      <c r="I24" s="34" t="n"/>
    </row>
    <row r="25" ht="15.75" customHeight="1">
      <c r="A25" s="36" t="inlineStr">
        <is>
          <t>FUNCIONAMIENTO PENDIENTE POR DISTRIBUIR</t>
        </is>
      </c>
      <c r="B25" s="37" t="n">
        <v>20000000000</v>
      </c>
      <c r="C25" s="38" t="n">
        <v>0</v>
      </c>
      <c r="D25" s="39" t="n">
        <v>9114098900</v>
      </c>
      <c r="E25" s="39" t="n">
        <v>0</v>
      </c>
      <c r="F25" s="37" t="n"/>
      <c r="G25" s="39" t="n"/>
      <c r="H25" s="37" t="n"/>
      <c r="I25" s="40" t="n"/>
    </row>
    <row r="26" ht="15.75" customHeight="1">
      <c r="A26" s="41" t="inlineStr">
        <is>
          <t>II. Inversion</t>
        </is>
      </c>
      <c r="B26" s="41">
        <f>+B27+B34+B40+B45+B50</f>
        <v/>
      </c>
      <c r="C26" s="42">
        <f>+C27+C34+C40+C45+C50</f>
        <v/>
      </c>
      <c r="D26" s="16">
        <f>+D27+D34+D40+D45+D50</f>
        <v/>
      </c>
      <c r="E26" s="16">
        <f>+E27+E34+E40+E45+E50</f>
        <v/>
      </c>
      <c r="F26" s="41">
        <f>+F27+F34+F40+F45+F50</f>
        <v/>
      </c>
      <c r="G26" s="16">
        <f>+G27+G34+G40+G45+G50</f>
        <v/>
      </c>
      <c r="H26" s="41">
        <f>+H27+H34+H40+H45+H50</f>
        <v/>
      </c>
      <c r="I26" s="42">
        <f>+I27+I34+I40+I45+I50</f>
        <v/>
      </c>
    </row>
    <row r="27" ht="15.75" customHeight="1">
      <c r="A27" s="43" t="inlineStr">
        <is>
          <t>CONSTRUCCIÓN DE INFRAESTRUCTURA PROPIA DEL SECTOR</t>
        </is>
      </c>
      <c r="B27" s="44">
        <f>SUM(B28:B33)</f>
        <v/>
      </c>
      <c r="C27" s="45">
        <f>SUM(C28:C33)</f>
        <v/>
      </c>
      <c r="D27" s="46">
        <f>SUM(D28:D33)</f>
        <v/>
      </c>
      <c r="E27" s="46">
        <f>SUM(E28:E33)</f>
        <v/>
      </c>
      <c r="F27" s="44">
        <f>SUM(F28:F33)</f>
        <v/>
      </c>
      <c r="G27" s="46">
        <f>SUM(G28:G33)</f>
        <v/>
      </c>
      <c r="H27" s="44">
        <f>SUM(H28:H33)</f>
        <v/>
      </c>
      <c r="I27" s="45">
        <f>SUM(I28:I33)</f>
        <v/>
      </c>
    </row>
    <row r="28" outlineLevel="1" ht="15.75" customHeight="1">
      <c r="A28" s="47" t="inlineStr">
        <is>
          <t>SERVICIOS PERSONALES INDIRECTOS</t>
        </is>
      </c>
      <c r="B28" s="27" t="n">
        <v>395000000</v>
      </c>
      <c r="C28" s="28" t="n">
        <v>77345156</v>
      </c>
      <c r="D28" s="26" t="n">
        <v>132273216</v>
      </c>
      <c r="E28" s="26" t="n">
        <v>114273216</v>
      </c>
      <c r="F28" s="27" t="n"/>
      <c r="G28" s="26" t="n"/>
      <c r="H28" s="27" t="n"/>
      <c r="I28" s="28" t="n"/>
    </row>
    <row r="29" outlineLevel="1" ht="15.75" customHeight="1">
      <c r="A29" s="47" t="inlineStr">
        <is>
          <t>ADQUISICIÓN DE BIENES</t>
        </is>
      </c>
      <c r="B29" s="27" t="n">
        <v>8038439013</v>
      </c>
      <c r="C29" s="28" t="n">
        <v>2119227177</v>
      </c>
      <c r="D29" s="26" t="n">
        <v>6876550604</v>
      </c>
      <c r="E29" s="26" t="n">
        <v>3913811177</v>
      </c>
      <c r="F29" s="27" t="n">
        <v>3071158485</v>
      </c>
      <c r="G29" s="26" t="n">
        <v>2669779954</v>
      </c>
      <c r="H29" s="27" t="n">
        <v>307306526</v>
      </c>
      <c r="I29" s="28" t="n">
        <v>307306526</v>
      </c>
    </row>
    <row r="30" outlineLevel="1" ht="15.75" customHeight="1">
      <c r="A30" s="47" t="inlineStr">
        <is>
          <t>ADQUISICIÓN DE SERVICIOS</t>
        </is>
      </c>
      <c r="B30" s="27" t="n">
        <v>1443000000</v>
      </c>
      <c r="C30" s="28" t="n">
        <v>324172010</v>
      </c>
      <c r="D30" s="26" t="n">
        <v>322389376</v>
      </c>
      <c r="E30" s="26" t="n">
        <v>229717320</v>
      </c>
      <c r="F30" s="27" t="n">
        <v>1786200000</v>
      </c>
      <c r="G30" s="26" t="n">
        <v>0</v>
      </c>
      <c r="H30" s="27" t="n"/>
      <c r="I30" s="28" t="n"/>
    </row>
    <row r="31" outlineLevel="1" ht="15.75" customHeight="1">
      <c r="A31" s="47" t="inlineStr">
        <is>
          <t>IMPUESTOS, CONTRIBUCIONES Y MULTAS</t>
        </is>
      </c>
      <c r="B31" s="27" t="n">
        <v>203000000</v>
      </c>
      <c r="C31" s="28" t="n">
        <v>197460998</v>
      </c>
      <c r="D31" s="26" t="n">
        <v>20476</v>
      </c>
      <c r="E31" s="26" t="n">
        <v>20476</v>
      </c>
      <c r="F31" s="27" t="n"/>
      <c r="G31" s="26" t="n"/>
      <c r="H31" s="27" t="n"/>
      <c r="I31" s="28" t="n"/>
    </row>
    <row r="32" outlineLevel="1" ht="15.75" customHeight="1">
      <c r="A32" s="47" t="inlineStr">
        <is>
          <t>OPERACIONES INTERNAS POR  ADQUISICION DE SERVICIOS</t>
        </is>
      </c>
      <c r="B32" s="27" t="n"/>
      <c r="C32" s="28" t="n"/>
      <c r="D32" s="26" t="n">
        <v>30000000</v>
      </c>
      <c r="E32" s="26" t="n">
        <v>24510000</v>
      </c>
      <c r="F32" s="27" t="n"/>
      <c r="G32" s="26" t="n"/>
      <c r="H32" s="27" t="n">
        <v>94072005</v>
      </c>
      <c r="I32" s="28" t="n">
        <v>94072005</v>
      </c>
    </row>
    <row r="33" outlineLevel="1" ht="15.75" customHeight="1">
      <c r="A33" s="47" t="inlineStr">
        <is>
          <t>VIGENCIAS EXPIRADAS GASTOS DE INVERSIÓN</t>
        </is>
      </c>
      <c r="B33" s="27" t="n"/>
      <c r="C33" s="28" t="n"/>
      <c r="D33" s="26" t="n"/>
      <c r="E33" s="26" t="n"/>
      <c r="F33" s="27" t="n">
        <v>7742998</v>
      </c>
      <c r="G33" s="26" t="n">
        <v>7742998</v>
      </c>
      <c r="H33" s="27" t="n">
        <v>96580921</v>
      </c>
      <c r="I33" s="28" t="n">
        <v>96580921</v>
      </c>
    </row>
    <row r="34" ht="15.75" customHeight="1">
      <c r="A34" s="48" t="inlineStr">
        <is>
          <t>DIVULGACIÓN, ASISTENCIA TÉCNICA Y CAPACITACIÓN DEL RECURSO HUMANO.</t>
        </is>
      </c>
      <c r="B34" s="44" t="n"/>
      <c r="C34" s="45" t="n"/>
      <c r="D34" s="46">
        <f>SUM(D35:D39)</f>
        <v/>
      </c>
      <c r="E34" s="46">
        <f>SUM(E35:E39)</f>
        <v/>
      </c>
      <c r="F34" s="44">
        <f>SUM(F35:F39)</f>
        <v/>
      </c>
      <c r="G34" s="46">
        <f>SUM(G35:G39)</f>
        <v/>
      </c>
      <c r="H34" s="44">
        <f>SUM(H35:H39)</f>
        <v/>
      </c>
      <c r="I34" s="45">
        <f>SUM(I35:I39)</f>
        <v/>
      </c>
    </row>
    <row r="35" outlineLevel="1" ht="15.75" customHeight="1">
      <c r="A35" s="47" t="inlineStr">
        <is>
          <t>PRESUPUESTO POR DISTRIBUIR - DIVULGACIÓN, ASISTENCIA TÉCNICA Y CAPACITACIÓN DEL RECURSO HUMANO.</t>
        </is>
      </c>
      <c r="B35" s="24" t="n"/>
      <c r="C35" s="25" t="n"/>
      <c r="D35" s="26" t="n">
        <v>15796812</v>
      </c>
      <c r="E35" s="26" t="n">
        <v>0</v>
      </c>
      <c r="F35" s="27" t="n"/>
      <c r="G35" s="26" t="n"/>
      <c r="H35" s="27" t="n"/>
      <c r="I35" s="28" t="n"/>
    </row>
    <row r="36" outlineLevel="1" ht="15.75" customHeight="1">
      <c r="A36" s="47" t="inlineStr">
        <is>
          <t>SERVICIOS PERSONALES INDIRECTOS</t>
        </is>
      </c>
      <c r="B36" s="24" t="n"/>
      <c r="C36" s="25" t="n"/>
      <c r="D36" s="26" t="n"/>
      <c r="E36" s="26" t="n"/>
      <c r="F36" s="27" t="n">
        <v>87824568</v>
      </c>
      <c r="G36" s="26" t="n">
        <v>87824568</v>
      </c>
      <c r="H36" s="27" t="n">
        <v>895395902</v>
      </c>
      <c r="I36" s="28" t="n">
        <v>819264330</v>
      </c>
    </row>
    <row r="37" outlineLevel="1" ht="15.75" customHeight="1">
      <c r="A37" s="47" t="inlineStr">
        <is>
          <t>ADQUISICIÓN DE BIENES</t>
        </is>
      </c>
      <c r="B37" s="24" t="n"/>
      <c r="C37" s="25" t="n"/>
      <c r="D37" s="26" t="n"/>
      <c r="E37" s="26" t="n"/>
      <c r="F37" s="27" t="n">
        <v>1722175432</v>
      </c>
      <c r="G37" s="26" t="n">
        <v>451090764</v>
      </c>
      <c r="H37" s="27" t="n">
        <v>5398652709</v>
      </c>
      <c r="I37" s="28" t="n">
        <v>3079520416</v>
      </c>
    </row>
    <row r="38" outlineLevel="1" ht="15.75" customHeight="1">
      <c r="A38" s="47" t="inlineStr">
        <is>
          <t>ADQUISICIÓN DE SERVICIOS</t>
        </is>
      </c>
      <c r="B38" s="24" t="n"/>
      <c r="C38" s="25" t="n"/>
      <c r="D38" s="26" t="n"/>
      <c r="E38" s="26" t="n"/>
      <c r="F38" s="27" t="n"/>
      <c r="G38" s="26" t="n"/>
      <c r="H38" s="27" t="n">
        <v>128258138</v>
      </c>
      <c r="I38" s="28" t="n">
        <v>28451400</v>
      </c>
    </row>
    <row r="39" outlineLevel="1" ht="15.75" customHeight="1">
      <c r="A39" s="47" t="inlineStr">
        <is>
          <t>OPERACIONES INTERNAS POR ADQUISICION DE SERVICIOS</t>
        </is>
      </c>
      <c r="B39" s="24" t="n"/>
      <c r="C39" s="25" t="n"/>
      <c r="D39" s="26" t="n"/>
      <c r="E39" s="26" t="n"/>
      <c r="F39" s="27" t="n"/>
      <c r="G39" s="26" t="n"/>
      <c r="H39" s="27" t="n">
        <v>97323000</v>
      </c>
      <c r="I39" s="28" t="n">
        <v>97322758</v>
      </c>
    </row>
    <row r="40" ht="15.75" customHeight="1">
      <c r="A40" s="48" t="inlineStr">
        <is>
          <t>ADMINIST., CONTROL Y ORGANIZACIÓN INSTITUCIONAL PARA APOYO A LA ADMINISTRACION DEL ESTADO</t>
        </is>
      </c>
      <c r="B40" s="44" t="n"/>
      <c r="C40" s="45" t="n"/>
      <c r="D40" s="46">
        <f>SUM(D41:D44)</f>
        <v/>
      </c>
      <c r="E40" s="46">
        <f>SUM(E41:E44)</f>
        <v/>
      </c>
      <c r="F40" s="44">
        <f>SUM(F41:F44)</f>
        <v/>
      </c>
      <c r="G40" s="46" t="n">
        <v>0</v>
      </c>
      <c r="H40" s="44">
        <f>SUM(H41:H44)</f>
        <v/>
      </c>
      <c r="I40" s="45" t="n">
        <v>16064000</v>
      </c>
    </row>
    <row r="41" outlineLevel="1" ht="15.75" customHeight="1">
      <c r="A41" s="47" t="inlineStr">
        <is>
          <t>PRESUPUESTO POR DISTRIBUIR - ADMINIST., CONTROL Y ORGANIZACIÓN INSTITUCIONAL PARA APOYO A LA ADMINIS. DEL ESTADO</t>
        </is>
      </c>
      <c r="B41" s="24" t="n"/>
      <c r="C41" s="25" t="n"/>
      <c r="D41" s="26" t="n">
        <v>4058200000</v>
      </c>
      <c r="E41" s="26" t="n">
        <v>0</v>
      </c>
      <c r="F41" s="44" t="n"/>
      <c r="G41" s="46" t="n"/>
      <c r="H41" s="44" t="n"/>
      <c r="I41" s="45" t="n"/>
    </row>
    <row r="42" outlineLevel="1" ht="15.75" customHeight="1">
      <c r="A42" s="49" t="inlineStr">
        <is>
          <t>ADQUISICIÓN DE SERVICIOS</t>
        </is>
      </c>
      <c r="B42" s="24" t="n"/>
      <c r="C42" s="45" t="n"/>
      <c r="D42" s="46" t="n"/>
      <c r="E42" s="46" t="n"/>
      <c r="F42" s="50" t="n">
        <v>4179946000</v>
      </c>
      <c r="G42" s="46" t="n"/>
      <c r="H42" s="50" t="n">
        <v>21880000</v>
      </c>
      <c r="I42" s="45" t="n"/>
    </row>
    <row r="43" outlineLevel="1" ht="15.75" customHeight="1">
      <c r="A43" s="49" t="inlineStr">
        <is>
          <t>SERVICIOS PERSONALES INDIRECTOS</t>
        </is>
      </c>
      <c r="B43" s="24" t="n"/>
      <c r="C43" s="45" t="n"/>
      <c r="D43" s="46" t="n"/>
      <c r="E43" s="46" t="n"/>
      <c r="F43" s="44" t="n"/>
      <c r="G43" s="46" t="n"/>
      <c r="H43" s="50" t="n">
        <v>61000000</v>
      </c>
      <c r="I43" s="45" t="n"/>
    </row>
    <row r="44" outlineLevel="1" ht="15.75" customHeight="1">
      <c r="A44" s="49" t="inlineStr">
        <is>
          <t>ADQUISICIÓN DE BIENES</t>
        </is>
      </c>
      <c r="B44" s="24" t="n"/>
      <c r="C44" s="45" t="n"/>
      <c r="D44" s="46" t="n"/>
      <c r="E44" s="46" t="n"/>
      <c r="F44" s="44" t="n"/>
      <c r="G44" s="46" t="n"/>
      <c r="H44" s="50" t="n">
        <v>32120000</v>
      </c>
      <c r="I44" s="45" t="n"/>
    </row>
    <row r="45" ht="15.75" customHeight="1">
      <c r="A45" s="48" t="inlineStr">
        <is>
          <t>ESTUDIOS DE PRE INVERSIÓN</t>
        </is>
      </c>
      <c r="B45" s="44" t="n"/>
      <c r="C45" s="45" t="n"/>
      <c r="D45" s="46" t="n"/>
      <c r="E45" s="46" t="n"/>
      <c r="F45" s="44">
        <f>SUM(F46:F49)</f>
        <v/>
      </c>
      <c r="G45" s="46">
        <f>SUM(G46:G49)</f>
        <v/>
      </c>
      <c r="H45" s="44">
        <f>SUM(H46:H49)</f>
        <v/>
      </c>
      <c r="I45" s="45">
        <f>SUM(I46:I49)</f>
        <v/>
      </c>
    </row>
    <row r="46" outlineLevel="1" ht="15.75" customHeight="1">
      <c r="A46" s="47" t="inlineStr">
        <is>
          <t>SERVICIOS PERSONALES INDIRECTOS</t>
        </is>
      </c>
      <c r="B46" s="23" t="n"/>
      <c r="C46" s="51" t="n"/>
      <c r="D46" s="26" t="n"/>
      <c r="E46" s="26" t="n"/>
      <c r="F46" s="27" t="n">
        <v>462000000</v>
      </c>
      <c r="G46" s="26" t="n">
        <v>156515873</v>
      </c>
      <c r="H46" s="27" t="n">
        <v>904993568</v>
      </c>
      <c r="I46" s="28" t="n">
        <v>889026368</v>
      </c>
    </row>
    <row r="47" outlineLevel="1" ht="15.75" customHeight="1">
      <c r="A47" s="47" t="inlineStr">
        <is>
          <t>ADQUISICIÓN DE BIENES</t>
        </is>
      </c>
      <c r="B47" s="23" t="n"/>
      <c r="C47" s="51" t="n"/>
      <c r="D47" s="26" t="n"/>
      <c r="E47" s="26" t="n"/>
      <c r="F47" s="27" t="n"/>
      <c r="G47" s="26" t="n"/>
      <c r="H47" s="27" t="n">
        <v>2461893044</v>
      </c>
      <c r="I47" s="28" t="n">
        <v>1037315491</v>
      </c>
    </row>
    <row r="48" outlineLevel="1" ht="15.75" customHeight="1">
      <c r="A48" s="47" t="inlineStr">
        <is>
          <t>ADQUISICIÓN DE SERVICIOS</t>
        </is>
      </c>
      <c r="B48" s="23" t="n"/>
      <c r="C48" s="51" t="n"/>
      <c r="D48" s="26" t="n"/>
      <c r="E48" s="26" t="n"/>
      <c r="F48" s="27" t="n"/>
      <c r="G48" s="26" t="n"/>
      <c r="H48" s="27" t="n">
        <v>23800000</v>
      </c>
      <c r="I48" s="28" t="n">
        <v>14023394</v>
      </c>
    </row>
    <row r="49" outlineLevel="1" ht="15.75" customHeight="1">
      <c r="A49" s="47" t="inlineStr">
        <is>
          <t>OPERACIONES INTERNAS POR ADQUISICION DE SERVICIOS</t>
        </is>
      </c>
      <c r="B49" s="23" t="n"/>
      <c r="C49" s="51" t="n"/>
      <c r="D49" s="26" t="n"/>
      <c r="E49" s="26" t="n"/>
      <c r="F49" s="27" t="n"/>
      <c r="G49" s="26" t="n"/>
      <c r="H49" s="27" t="n">
        <v>49100000</v>
      </c>
      <c r="I49" s="28" t="n">
        <v>49065681</v>
      </c>
    </row>
    <row r="50" ht="15.75" customHeight="1">
      <c r="A50" s="48" t="inlineStr">
        <is>
          <t>INVESTIGACION APLICADA A ESTUDIOS</t>
        </is>
      </c>
      <c r="B50" s="44" t="n"/>
      <c r="C50" s="45" t="n"/>
      <c r="D50" s="46" t="n"/>
      <c r="E50" s="46" t="n"/>
      <c r="F50" s="44" t="n"/>
      <c r="G50" s="46" t="n"/>
      <c r="H50" s="44">
        <f>SUM(H51:H55)</f>
        <v/>
      </c>
      <c r="I50" s="45">
        <f>SUM(I51:I55)</f>
        <v/>
      </c>
    </row>
    <row r="51" outlineLevel="1" ht="15.75" customHeight="1">
      <c r="A51" s="47" t="inlineStr">
        <is>
          <t>SERVICIOS PERSONALES INDIRECTOS</t>
        </is>
      </c>
      <c r="B51" s="24" t="n"/>
      <c r="C51" s="25" t="n"/>
      <c r="D51" s="46" t="n"/>
      <c r="E51" s="46" t="n"/>
      <c r="F51" s="44" t="n"/>
      <c r="G51" s="46" t="n"/>
      <c r="H51" s="27" t="n">
        <v>751759557</v>
      </c>
      <c r="I51" s="28" t="n">
        <v>707187425</v>
      </c>
    </row>
    <row r="52" outlineLevel="1" ht="15.75" customHeight="1">
      <c r="A52" s="47" t="inlineStr">
        <is>
          <t>ADQUISICIÓN DE BIENES</t>
        </is>
      </c>
      <c r="B52" s="24" t="n"/>
      <c r="C52" s="25" t="n"/>
      <c r="D52" s="46" t="n"/>
      <c r="E52" s="46" t="n"/>
      <c r="F52" s="44" t="n"/>
      <c r="G52" s="46" t="n"/>
      <c r="H52" s="27" t="n">
        <v>237671602</v>
      </c>
      <c r="I52" s="28" t="n">
        <v>215023713</v>
      </c>
    </row>
    <row r="53" outlineLevel="1" ht="15.75" customHeight="1">
      <c r="A53" s="47" t="inlineStr">
        <is>
          <t>ADQUISICIÓN DE SERVICIOS</t>
        </is>
      </c>
      <c r="B53" s="24" t="n"/>
      <c r="C53" s="25" t="n"/>
      <c r="D53" s="46" t="n"/>
      <c r="E53" s="46" t="n"/>
      <c r="F53" s="44" t="n"/>
      <c r="G53" s="46" t="n"/>
      <c r="H53" s="27" t="n">
        <v>735568841</v>
      </c>
      <c r="I53" s="28" t="n">
        <v>132889960</v>
      </c>
    </row>
    <row r="54" outlineLevel="1" ht="15.75" customHeight="1">
      <c r="A54" s="47" t="inlineStr">
        <is>
          <t>OPERACIONES INTERNAS POR  ADQUISICION DE BIENES</t>
        </is>
      </c>
      <c r="B54" s="24" t="n"/>
      <c r="C54" s="25" t="n"/>
      <c r="D54" s="46" t="n"/>
      <c r="E54" s="46" t="n"/>
      <c r="F54" s="44" t="n"/>
      <c r="G54" s="46" t="n"/>
      <c r="H54" s="27" t="n">
        <v>8559079</v>
      </c>
      <c r="I54" s="28" t="n">
        <v>8433600</v>
      </c>
    </row>
    <row r="55" outlineLevel="1" ht="15.75" customHeight="1">
      <c r="A55" s="52" t="inlineStr">
        <is>
          <t>OPERACIONES INTERNAS POR ADQUISICION DE SERVICIOS</t>
        </is>
      </c>
      <c r="B55" s="24" t="n"/>
      <c r="C55" s="25" t="n"/>
      <c r="D55" s="46" t="n"/>
      <c r="E55" s="46" t="n"/>
      <c r="F55" s="44" t="n"/>
      <c r="G55" s="46" t="n"/>
      <c r="H55" s="27" t="n">
        <v>32440921</v>
      </c>
      <c r="I55" s="28" t="n">
        <v>32440920</v>
      </c>
    </row>
    <row r="56" ht="15.75" customHeight="1">
      <c r="A56" s="11" t="inlineStr">
        <is>
          <t>- FONDOS ESPECIALES</t>
        </is>
      </c>
      <c r="B56" s="12">
        <f>+B57+B62</f>
        <v/>
      </c>
      <c r="C56" s="13">
        <f>+C57+C62</f>
        <v/>
      </c>
      <c r="D56" s="53">
        <f>+D57+D62</f>
        <v/>
      </c>
      <c r="E56" s="53">
        <f>+E57+E62</f>
        <v/>
      </c>
      <c r="F56" s="12">
        <f>+F57+F62</f>
        <v/>
      </c>
      <c r="G56" s="53">
        <f>+G57+G62</f>
        <v/>
      </c>
      <c r="H56" s="12">
        <f>+H57+H62</f>
        <v/>
      </c>
      <c r="I56" s="13">
        <f>+I57+I62</f>
        <v/>
      </c>
    </row>
    <row r="57" ht="15.75" customHeight="1">
      <c r="A57" s="18" t="inlineStr">
        <is>
          <t>GASTOS DE DESTINACIÓN ESPECIFICA</t>
        </is>
      </c>
      <c r="B57" s="18" t="n"/>
      <c r="C57" s="20" t="n"/>
      <c r="D57" s="54" t="n"/>
      <c r="E57" s="54" t="n"/>
      <c r="F57" s="18" t="n"/>
      <c r="G57" s="20" t="n"/>
      <c r="H57" s="55">
        <f>SUM(H58:H61)</f>
        <v/>
      </c>
      <c r="I57" s="56">
        <f>SUM(I58:I61)</f>
        <v/>
      </c>
    </row>
    <row r="58" outlineLevel="1" ht="15.75" customHeight="1">
      <c r="A58" s="23" t="inlineStr">
        <is>
          <t>SERVICIOS PERSONALES INDIRECTOS - ESPECIFICA</t>
        </is>
      </c>
      <c r="B58" s="24" t="n"/>
      <c r="C58" s="25" t="n"/>
      <c r="F58" s="24" t="n"/>
      <c r="G58" s="25" t="n"/>
      <c r="H58" s="26" t="n">
        <v>650211089</v>
      </c>
      <c r="I58" s="28" t="n">
        <v>457900434</v>
      </c>
    </row>
    <row r="59" outlineLevel="1" ht="15.75" customHeight="1">
      <c r="A59" s="23" t="inlineStr">
        <is>
          <t>ADQUISICIÓN DE SERVICIOS ESPECIFICA</t>
        </is>
      </c>
      <c r="B59" s="24" t="n"/>
      <c r="C59" s="25" t="n"/>
      <c r="F59" s="24" t="n"/>
      <c r="G59" s="25" t="n"/>
      <c r="H59" s="26" t="n">
        <v>140087808</v>
      </c>
      <c r="I59" s="28" t="n">
        <v>67014224</v>
      </c>
    </row>
    <row r="60" outlineLevel="1" ht="15.75" customHeight="1">
      <c r="A60" s="23" t="inlineStr">
        <is>
          <t>TRANSFERENCIAS EXTENSION  - ESPECIFICA</t>
        </is>
      </c>
      <c r="B60" s="24" t="n"/>
      <c r="C60" s="25" t="n"/>
      <c r="F60" s="24" t="n"/>
      <c r="G60" s="25" t="n"/>
      <c r="H60" s="26" t="n">
        <v>192857143</v>
      </c>
      <c r="I60" s="28" t="n">
        <v>0</v>
      </c>
    </row>
    <row r="61" outlineLevel="1" ht="15.75" customHeight="1">
      <c r="A61" s="23" t="inlineStr">
        <is>
          <t>ADQUISICIÓN DE BIENES - ESPECIFICA</t>
        </is>
      </c>
      <c r="B61" s="24" t="n"/>
      <c r="C61" s="25" t="n"/>
      <c r="F61" s="24" t="n"/>
      <c r="G61" s="25" t="n"/>
      <c r="H61" s="26" t="n">
        <v>36600000</v>
      </c>
      <c r="I61" s="28" t="n">
        <v>8143840</v>
      </c>
    </row>
    <row r="62" ht="15.75" customHeight="1">
      <c r="A62" s="24" t="inlineStr">
        <is>
          <t>GASTOS DESTINACION REGULADA</t>
        </is>
      </c>
      <c r="B62" s="24" t="n"/>
      <c r="C62" s="25" t="n"/>
      <c r="F62" s="24" t="n"/>
      <c r="G62" s="25" t="n"/>
      <c r="H62" s="57">
        <f>SUM(H63:H63)</f>
        <v/>
      </c>
      <c r="I62" s="58" t="n">
        <v>0</v>
      </c>
    </row>
    <row r="63" outlineLevel="1" ht="15.75" customHeight="1">
      <c r="A63" s="59" t="inlineStr">
        <is>
          <t>ADQUISICIÓN DE BIENES - REGULADA</t>
        </is>
      </c>
      <c r="B63" s="36" t="n"/>
      <c r="C63" s="38" t="n"/>
      <c r="D63" s="60" t="n"/>
      <c r="E63" s="60" t="n"/>
      <c r="F63" s="36" t="n"/>
      <c r="G63" s="38" t="n"/>
      <c r="H63" s="61" t="n">
        <v>15000000</v>
      </c>
      <c r="I63" s="38" t="n"/>
    </row>
  </sheetData>
  <mergeCells count="6">
    <mergeCell ref="F3:G3"/>
    <mergeCell ref="B3:C3"/>
    <mergeCell ref="A3:A4"/>
    <mergeCell ref="A1:I2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2024-12-12T06:52:01Z</dcterms:created>
  <dcterms:modified xmlns:dcterms="http://purl.org/dc/terms/" xmlns:xsi="http://www.w3.org/2001/XMLSchema-instance" xsi:type="dcterms:W3CDTF">2026-09-22T22:05:56Z</dcterms:modified>
  <cp:lastModifiedBy>Lucio Muñoz Adarme</cp:lastModifiedBy>
</cp:coreProperties>
</file>