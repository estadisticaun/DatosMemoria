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6" pivotButton="0" quotePrefix="0" xfId="0"/>
    <xf numFmtId="164" fontId="5" fillId="3" borderId="6" pivotButton="0" quotePrefix="0" xfId="0"/>
    <xf numFmtId="164" fontId="5" fillId="3" borderId="7" pivotButton="0" quotePrefix="0" xfId="0"/>
    <xf numFmtId="0" fontId="6" fillId="4" borderId="6" pivotButton="0" quotePrefix="1" xfId="0"/>
    <xf numFmtId="164" fontId="6" fillId="4" borderId="6" pivotButton="0" quotePrefix="0" xfId="0"/>
    <xf numFmtId="164" fontId="6" fillId="4" borderId="7" pivotButton="0" quotePrefix="0" xfId="0"/>
    <xf numFmtId="0" fontId="3" fillId="5" borderId="4" pivotButton="0" quotePrefix="0" xfId="0"/>
    <xf numFmtId="164" fontId="3" fillId="5" borderId="4" pivotButton="0" quotePrefix="0" xfId="0"/>
    <xf numFmtId="164" fontId="3" fillId="5" borderId="5" pivotButton="0" quotePrefix="0" xfId="0"/>
    <xf numFmtId="164" fontId="0" fillId="0" borderId="0" applyAlignment="1" pivotButton="0" quotePrefix="0" xfId="1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164" fontId="0" fillId="0" borderId="3" pivotButton="0" quotePrefix="0" xfId="0"/>
    <xf numFmtId="0" fontId="0" fillId="0" borderId="8" applyAlignment="1" pivotButton="0" quotePrefix="0" xfId="0">
      <alignment horizontal="left" indent="3"/>
    </xf>
    <xf numFmtId="164" fontId="0" fillId="0" borderId="8" applyAlignment="1" pivotButton="0" quotePrefix="0" xfId="0">
      <alignment horizontal="left" indent="3"/>
    </xf>
    <xf numFmtId="164" fontId="0" fillId="0" borderId="9" applyAlignment="1" pivotButton="0" quotePrefix="0" xfId="0">
      <alignment horizontal="left" indent="3"/>
    </xf>
    <xf numFmtId="0" fontId="0" fillId="0" borderId="8" pivotButton="0" quotePrefix="0" xfId="0"/>
    <xf numFmtId="164" fontId="1" fillId="0" borderId="8" pivotButton="0" quotePrefix="0" xfId="1"/>
    <xf numFmtId="164" fontId="1" fillId="0" borderId="9" pivotButton="0" quotePrefix="0" xfId="1"/>
    <xf numFmtId="164" fontId="1" fillId="0" borderId="8" applyAlignment="1" pivotButton="0" quotePrefix="0" xfId="1">
      <alignment horizontal="left" indent="3"/>
    </xf>
    <xf numFmtId="164" fontId="1" fillId="0" borderId="9" applyAlignment="1" pivotButton="0" quotePrefix="0" xfId="1">
      <alignment horizontal="left" indent="3"/>
    </xf>
    <xf numFmtId="164" fontId="0" fillId="0" borderId="8" applyAlignment="1" pivotButton="0" quotePrefix="0" xfId="1">
      <alignment horizontal="left" vertical="center" wrapText="1" indent="3"/>
    </xf>
    <xf numFmtId="164" fontId="0" fillId="0" borderId="9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8" applyAlignment="1" pivotButton="0" quotePrefix="0" xfId="0">
      <alignment horizontal="left" vertical="center" wrapText="1" indent="3"/>
    </xf>
    <xf numFmtId="0" fontId="0" fillId="0" borderId="9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3"/>
    </xf>
    <xf numFmtId="164" fontId="3" fillId="5" borderId="6" pivotButton="0" quotePrefix="0" xfId="0"/>
    <xf numFmtId="164" fontId="3" fillId="5" borderId="7" pivotButton="0" quotePrefix="0" xfId="0"/>
    <xf numFmtId="164" fontId="0" fillId="0" borderId="8" pivotButton="0" quotePrefix="0" xfId="1"/>
    <xf numFmtId="164" fontId="0" fillId="0" borderId="9" pivotButton="0" quotePrefix="0" xfId="1"/>
    <xf numFmtId="164" fontId="0" fillId="0" borderId="8" applyAlignment="1" pivotButton="0" quotePrefix="0" xfId="1">
      <alignment horizontal="left" indent="3"/>
    </xf>
    <xf numFmtId="164" fontId="0" fillId="0" borderId="9" applyAlignment="1" pivotButton="0" quotePrefix="0" xfId="1">
      <alignment horizontal="left" indent="3"/>
    </xf>
    <xf numFmtId="0" fontId="0" fillId="0" borderId="9" pivotButton="0" quotePrefix="0" xfId="0"/>
    <xf numFmtId="164" fontId="0" fillId="0" borderId="0" pivotButton="0" quotePrefix="0" xfId="1"/>
    <xf numFmtId="164" fontId="0" fillId="0" borderId="0" applyAlignment="1" pivotButton="0" quotePrefix="0" xfId="1">
      <alignment horizontal="left" vertical="center" wrapText="1" indent="3"/>
    </xf>
    <xf numFmtId="164" fontId="0" fillId="0" borderId="0" applyAlignment="1" pivotButton="0" quotePrefix="0" xfId="1">
      <alignment horizontal="left" indent="3"/>
    </xf>
    <xf numFmtId="164" fontId="0" fillId="0" borderId="9" applyAlignment="1" pivotButton="0" quotePrefix="0" xfId="1">
      <alignment horizontal="left" indent="6"/>
    </xf>
    <xf numFmtId="0" fontId="0" fillId="0" borderId="4" applyAlignment="1" pivotButton="0" quotePrefix="0" xfId="0">
      <alignment horizontal="left" indent="3"/>
    </xf>
    <xf numFmtId="0" fontId="0" fillId="0" borderId="4" pivotButton="0" quotePrefix="0" xfId="0"/>
    <xf numFmtId="0" fontId="0" fillId="0" borderId="5" pivotButton="0" quotePrefix="0" xfId="0"/>
    <xf numFmtId="164" fontId="0" fillId="0" borderId="4" pivotButton="0" quotePrefix="0" xfId="1"/>
    <xf numFmtId="164" fontId="0" fillId="0" borderId="5" pivotButton="0" quotePrefix="0" xfId="1"/>
    <xf numFmtId="0" fontId="0" fillId="0" borderId="0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6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0" fillId="0" borderId="3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tabSelected="1" workbookViewId="0">
      <selection activeCell="B9" sqref="B9"/>
    </sheetView>
  </sheetViews>
  <sheetFormatPr baseColWidth="10" defaultColWidth="0" defaultRowHeight="15" zeroHeight="1" outlineLevelRow="1"/>
  <cols>
    <col width="52.140625" customWidth="1" min="1" max="1"/>
    <col width="23" bestFit="1" customWidth="1" min="2" max="2"/>
    <col width="21.5703125" bestFit="1" customWidth="1" min="3" max="3"/>
    <col width="23" bestFit="1" customWidth="1" min="4" max="8"/>
    <col width="21.5703125" bestFit="1" customWidth="1" min="9" max="9"/>
    <col width="23" bestFit="1" customWidth="1" min="10" max="13"/>
    <col hidden="1" width="11.42578125" customWidth="1" min="21" max="16384"/>
  </cols>
  <sheetData>
    <row r="1">
      <c r="A1" s="3" t="inlineStr">
        <is>
          <t>CONSOLIDADO GESTION GENERAL SEDE TUMACO</t>
        </is>
      </c>
      <c r="P1" s="2" t="n"/>
    </row>
    <row r="2">
      <c r="A2" s="55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</row>
    <row r="3">
      <c r="A3" s="56" t="inlineStr">
        <is>
          <t>CONCEPTO</t>
        </is>
      </c>
      <c r="B3" s="57" t="n">
        <v>2016</v>
      </c>
      <c r="C3" s="58" t="n"/>
      <c r="D3" s="57" t="n">
        <v>2017</v>
      </c>
      <c r="E3" s="58" t="n"/>
      <c r="F3" s="57" t="n">
        <v>2018</v>
      </c>
      <c r="G3" s="58" t="n"/>
      <c r="H3" s="57" t="n">
        <v>2019</v>
      </c>
      <c r="I3" s="58" t="n"/>
      <c r="J3" s="57" t="n">
        <v>2020</v>
      </c>
      <c r="K3" s="58" t="n"/>
      <c r="L3" s="57" t="n">
        <v>2021</v>
      </c>
      <c r="M3" s="58" t="n"/>
    </row>
    <row r="4">
      <c r="A4" s="50" t="n"/>
      <c r="B4" s="7" t="inlineStr">
        <is>
          <t>Apropiación definitiva</t>
        </is>
      </c>
      <c r="C4" s="8" t="inlineStr">
        <is>
          <t>Registro</t>
        </is>
      </c>
      <c r="D4" s="7" t="inlineStr">
        <is>
          <t>Apropiación definitiva</t>
        </is>
      </c>
      <c r="E4" s="8" t="inlineStr">
        <is>
          <t>Registro</t>
        </is>
      </c>
      <c r="F4" s="7" t="inlineStr">
        <is>
          <t>Apropiación definitiva</t>
        </is>
      </c>
      <c r="G4" s="8" t="inlineStr">
        <is>
          <t>Registro</t>
        </is>
      </c>
      <c r="H4" s="7" t="inlineStr">
        <is>
          <t>Apropiación definitiva</t>
        </is>
      </c>
      <c r="I4" s="8" t="inlineStr">
        <is>
          <t>Registro</t>
        </is>
      </c>
      <c r="J4" s="7" t="inlineStr">
        <is>
          <t>Apropiación definitiva</t>
        </is>
      </c>
      <c r="K4" s="8" t="inlineStr">
        <is>
          <t>Registro</t>
        </is>
      </c>
      <c r="L4" s="7" t="inlineStr">
        <is>
          <t>Apropiación definitiva</t>
        </is>
      </c>
      <c r="M4" s="8" t="inlineStr">
        <is>
          <t>Registro</t>
        </is>
      </c>
    </row>
    <row r="5" ht="18.75" customHeight="1">
      <c r="A5" s="9" t="inlineStr">
        <is>
          <t>GESTIÓN GENERAL</t>
        </is>
      </c>
      <c r="B5" s="10">
        <f>+B6+B65</f>
        <v/>
      </c>
      <c r="C5" s="11">
        <f>+C6+C65</f>
        <v/>
      </c>
      <c r="D5" s="10">
        <f>+D6+D65</f>
        <v/>
      </c>
      <c r="E5" s="11">
        <f>+E6+E65</f>
        <v/>
      </c>
      <c r="F5" s="10">
        <f>+F6+F65</f>
        <v/>
      </c>
      <c r="G5" s="11">
        <f>+G6+G65</f>
        <v/>
      </c>
      <c r="H5" s="10">
        <f>+H6+H65</f>
        <v/>
      </c>
      <c r="I5" s="11">
        <f>+I6+I65</f>
        <v/>
      </c>
      <c r="J5" s="10">
        <f>+J6+J65</f>
        <v/>
      </c>
      <c r="K5" s="11">
        <f>+K6+K65</f>
        <v/>
      </c>
      <c r="L5" s="10">
        <f>+L6+L65</f>
        <v/>
      </c>
      <c r="M5" s="11">
        <f>+M6+M65</f>
        <v/>
      </c>
    </row>
    <row r="6" ht="15.75" customHeight="1">
      <c r="A6" s="12" t="inlineStr">
        <is>
          <t>- NIVEL CENTRAL</t>
        </is>
      </c>
      <c r="B6" s="13">
        <f>+B7+B24</f>
        <v/>
      </c>
      <c r="C6" s="14">
        <f>+C7+C24</f>
        <v/>
      </c>
      <c r="D6" s="13">
        <f>+D7+D24</f>
        <v/>
      </c>
      <c r="E6" s="14">
        <f>+E7+E24</f>
        <v/>
      </c>
      <c r="F6" s="13">
        <f>+F7+F24</f>
        <v/>
      </c>
      <c r="G6" s="14">
        <f>+G7+G24</f>
        <v/>
      </c>
      <c r="H6" s="13">
        <f>+H7+H24</f>
        <v/>
      </c>
      <c r="I6" s="14">
        <f>+I7+I24</f>
        <v/>
      </c>
      <c r="J6" s="13">
        <f>+J7+J24</f>
        <v/>
      </c>
      <c r="K6" s="14">
        <f>+K7+K24</f>
        <v/>
      </c>
      <c r="L6" s="13">
        <f>+L7+L24</f>
        <v/>
      </c>
      <c r="M6" s="14">
        <f>+M7+M24</f>
        <v/>
      </c>
    </row>
    <row r="7">
      <c r="A7" s="15" t="inlineStr">
        <is>
          <t xml:space="preserve">I. Funcionamiento </t>
        </is>
      </c>
      <c r="B7" s="16">
        <f>+B8+B15+B20</f>
        <v/>
      </c>
      <c r="C7" s="17">
        <f>+C8+C15+C20</f>
        <v/>
      </c>
      <c r="D7" s="16">
        <f>+D8+D15+D20</f>
        <v/>
      </c>
      <c r="E7" s="17">
        <f>+E8+E15+E20</f>
        <v/>
      </c>
      <c r="F7" s="16">
        <f>+F8+F15+F20</f>
        <v/>
      </c>
      <c r="G7" s="17">
        <f>+G8+G15+G20</f>
        <v/>
      </c>
      <c r="H7" s="16">
        <f>+H8+H15+H20</f>
        <v/>
      </c>
      <c r="I7" s="17">
        <f>+I8+I15+I20</f>
        <v/>
      </c>
      <c r="J7" s="16">
        <f>+J8+J15+J20</f>
        <v/>
      </c>
      <c r="K7" s="17">
        <f>+K8+K15+K20</f>
        <v/>
      </c>
      <c r="L7" s="16">
        <f>+L8+L15+L20</f>
        <v/>
      </c>
      <c r="M7" s="17">
        <f>+M8+M15+M20</f>
        <v/>
      </c>
      <c r="O7" s="18" t="n"/>
      <c r="R7" s="18" t="n"/>
    </row>
    <row r="8" ht="15.75" customHeight="1">
      <c r="A8" s="19" t="inlineStr">
        <is>
          <t>GASTOS DE PERSONAL</t>
        </is>
      </c>
      <c r="B8" s="20">
        <f>SUM(B9:B14)</f>
        <v/>
      </c>
      <c r="C8" s="21">
        <f>SUM(C9:C14)</f>
        <v/>
      </c>
      <c r="D8" s="20">
        <f>SUM(D9:D14)</f>
        <v/>
      </c>
      <c r="E8" s="21">
        <f>SUM(E9:E14)</f>
        <v/>
      </c>
      <c r="F8" s="20">
        <f>SUM(F9:F14)</f>
        <v/>
      </c>
      <c r="G8" s="21">
        <f>SUM(G9:G14)</f>
        <v/>
      </c>
      <c r="H8" s="20">
        <f>SUM(H9:H14)</f>
        <v/>
      </c>
      <c r="I8" s="21">
        <f>SUM(I9:I14)</f>
        <v/>
      </c>
      <c r="J8" s="20">
        <f>SUM(J9:J14)</f>
        <v/>
      </c>
      <c r="K8" s="21">
        <f>SUM(K9:K14)</f>
        <v/>
      </c>
      <c r="L8" s="20">
        <f>SUM(L9:L14)</f>
        <v/>
      </c>
      <c r="M8" s="21">
        <f>SUM(M9:M14)</f>
        <v/>
      </c>
      <c r="O8" s="18" t="n"/>
      <c r="R8" s="18" t="n"/>
    </row>
    <row r="9" outlineLevel="1" ht="15.75" customHeight="1">
      <c r="A9" s="22" t="inlineStr">
        <is>
          <t>SERVICIOS PERSONALES INDIRECTOS</t>
        </is>
      </c>
      <c r="B9" s="23" t="n">
        <v>471792993</v>
      </c>
      <c r="C9" s="24" t="n">
        <v>459071079</v>
      </c>
      <c r="D9" s="23" t="n">
        <v>806108056</v>
      </c>
      <c r="E9" s="24" t="n">
        <v>774596990</v>
      </c>
      <c r="F9" s="23" t="n">
        <v>1002937416</v>
      </c>
      <c r="G9" s="24" t="n">
        <v>988577414</v>
      </c>
      <c r="H9" s="23" t="n">
        <v>1175901483</v>
      </c>
      <c r="I9" s="24" t="n">
        <v>1160998132</v>
      </c>
      <c r="J9" s="23" t="n">
        <v>1290622989</v>
      </c>
      <c r="K9" s="24" t="n">
        <v>1230146704</v>
      </c>
      <c r="L9" s="23" t="n">
        <v>1373555569</v>
      </c>
      <c r="M9" s="24" t="n">
        <v>1273722250</v>
      </c>
      <c r="O9" s="18" t="n"/>
      <c r="R9" s="18" t="n"/>
    </row>
    <row r="10" outlineLevel="1" ht="15.75" customHeight="1">
      <c r="A10" s="22" t="inlineStr">
        <is>
          <t>SERVICIOS PERSONALES ASOCIADOS A NOMINA</t>
        </is>
      </c>
      <c r="B10" s="23" t="n"/>
      <c r="C10" s="24" t="n"/>
      <c r="D10" s="23" t="n"/>
      <c r="E10" s="24" t="n"/>
      <c r="F10" s="23" t="n">
        <v>126258370</v>
      </c>
      <c r="G10" s="24" t="n">
        <v>126258370</v>
      </c>
      <c r="H10" s="23" t="n">
        <v>231420070</v>
      </c>
      <c r="I10" s="24" t="n">
        <v>187954387</v>
      </c>
      <c r="J10" s="23" t="n">
        <v>124766989</v>
      </c>
      <c r="K10" s="24" t="n">
        <v>124766989</v>
      </c>
      <c r="L10" s="23" t="n">
        <v>228728568</v>
      </c>
      <c r="M10" s="24" t="n">
        <v>228728568</v>
      </c>
      <c r="O10" s="18" t="n"/>
      <c r="R10" s="18" t="n"/>
    </row>
    <row r="11" outlineLevel="1" ht="15.75" customHeight="1">
      <c r="A11" s="22" t="inlineStr">
        <is>
          <t>BONIFICACIONES</t>
        </is>
      </c>
      <c r="B11" s="23" t="n"/>
      <c r="C11" s="24" t="n"/>
      <c r="D11" s="23" t="n"/>
      <c r="E11" s="24" t="n"/>
      <c r="F11" s="23" t="n">
        <v>12438756</v>
      </c>
      <c r="G11" s="24" t="n">
        <v>12438756</v>
      </c>
      <c r="H11" s="23" t="n">
        <v>15341900</v>
      </c>
      <c r="I11" s="24" t="n">
        <v>15341900</v>
      </c>
      <c r="J11" s="23" t="n">
        <v>14940817</v>
      </c>
      <c r="K11" s="24" t="n">
        <v>14940817</v>
      </c>
      <c r="L11" s="23" t="n">
        <v>8095697</v>
      </c>
      <c r="M11" s="24" t="n">
        <v>8095697</v>
      </c>
      <c r="O11" s="18" t="n"/>
      <c r="R11" s="18" t="n"/>
    </row>
    <row r="12" outlineLevel="1" ht="15.75" customHeight="1">
      <c r="A12" s="22" t="inlineStr">
        <is>
          <t>PRIMAS</t>
        </is>
      </c>
      <c r="B12" s="23" t="n"/>
      <c r="C12" s="24" t="n"/>
      <c r="D12" s="23" t="n"/>
      <c r="E12" s="24" t="n"/>
      <c r="F12" s="23" t="n">
        <v>40537266</v>
      </c>
      <c r="G12" s="24" t="n">
        <v>40537266</v>
      </c>
      <c r="H12" s="23" t="n">
        <v>51369124</v>
      </c>
      <c r="I12" s="24" t="n">
        <v>49462959</v>
      </c>
      <c r="J12" s="23" t="n">
        <v>30458805</v>
      </c>
      <c r="K12" s="24" t="n">
        <v>30458805</v>
      </c>
      <c r="L12" s="23" t="n">
        <v>42550757</v>
      </c>
      <c r="M12" s="24" t="n">
        <v>42550757</v>
      </c>
      <c r="O12" s="18" t="n"/>
      <c r="R12" s="18" t="n"/>
    </row>
    <row r="13" outlineLevel="1" ht="15.75" customHeight="1">
      <c r="A13" s="22" t="inlineStr">
        <is>
          <t>CONTRIBUCIONES INHERENTES A LA NOMINA - SECTOR PRIVADO</t>
        </is>
      </c>
      <c r="B13" s="23" t="n"/>
      <c r="C13" s="24" t="n"/>
      <c r="D13" s="23" t="n"/>
      <c r="E13" s="24" t="n"/>
      <c r="F13" s="23" t="n">
        <v>14718978</v>
      </c>
      <c r="G13" s="24" t="n">
        <v>14718978</v>
      </c>
      <c r="H13" s="23" t="n">
        <v>34557679</v>
      </c>
      <c r="I13" s="24" t="n">
        <v>34557679</v>
      </c>
      <c r="J13" s="23" t="n">
        <v>29774653</v>
      </c>
      <c r="K13" s="24" t="n">
        <v>29774653</v>
      </c>
      <c r="L13" s="23" t="n">
        <v>50011701</v>
      </c>
      <c r="M13" s="24" t="n">
        <v>50011701</v>
      </c>
      <c r="O13" s="18" t="n"/>
      <c r="R13" s="18" t="n"/>
    </row>
    <row r="14" outlineLevel="1" ht="15.75" customHeight="1">
      <c r="A14" s="22" t="inlineStr">
        <is>
          <t>CONTRIBUCIONES INHERENTES A LA NOMINA - SECTOR PÚBLICO</t>
        </is>
      </c>
      <c r="B14" s="23" t="n"/>
      <c r="C14" s="24" t="n"/>
      <c r="D14" s="23" t="n"/>
      <c r="E14" s="24" t="n"/>
      <c r="F14" s="23" t="n">
        <v>18921518</v>
      </c>
      <c r="G14" s="24" t="n">
        <v>18921518</v>
      </c>
      <c r="H14" s="23" t="n">
        <v>24272947</v>
      </c>
      <c r="I14" s="24" t="n">
        <v>24272947</v>
      </c>
      <c r="J14" s="23" t="n">
        <v>11149391</v>
      </c>
      <c r="K14" s="24" t="n">
        <v>11149391</v>
      </c>
      <c r="L14" s="23" t="n">
        <v>22785761</v>
      </c>
      <c r="M14" s="24" t="n">
        <v>22785761</v>
      </c>
      <c r="O14" s="18" t="n"/>
      <c r="R14" s="18" t="n"/>
    </row>
    <row r="15" ht="15.75" customHeight="1">
      <c r="A15" s="25" t="inlineStr">
        <is>
          <t>GASTOS GENERALES</t>
        </is>
      </c>
      <c r="B15" s="26">
        <f>SUM(B16:B19)</f>
        <v/>
      </c>
      <c r="C15" s="27">
        <f>SUM(C16:C19)</f>
        <v/>
      </c>
      <c r="D15" s="26">
        <f>SUM(D16:D19)</f>
        <v/>
      </c>
      <c r="E15" s="27">
        <f>SUM(E16:E19)</f>
        <v/>
      </c>
      <c r="F15" s="26">
        <f>SUM(F16:F19)</f>
        <v/>
      </c>
      <c r="G15" s="27">
        <f>SUM(G16:G19)</f>
        <v/>
      </c>
      <c r="H15" s="26">
        <f>SUM(H16:H19)</f>
        <v/>
      </c>
      <c r="I15" s="27">
        <f>SUM(I16:I19)</f>
        <v/>
      </c>
      <c r="J15" s="26">
        <f>SUM(J16:J19)</f>
        <v/>
      </c>
      <c r="K15" s="27">
        <f>SUM(K16:K19)</f>
        <v/>
      </c>
      <c r="L15" s="26">
        <f>SUM(L16:L19)</f>
        <v/>
      </c>
      <c r="M15" s="27">
        <f>SUM(M16:M19)</f>
        <v/>
      </c>
    </row>
    <row r="16" outlineLevel="1" ht="15.75" customHeight="1">
      <c r="A16" s="22" t="inlineStr">
        <is>
          <t>ADQUISICIÓN DE BIENES</t>
        </is>
      </c>
      <c r="B16" s="28" t="n">
        <v>76639775</v>
      </c>
      <c r="C16" s="29" t="n">
        <v>75909564</v>
      </c>
      <c r="D16" s="28" t="n">
        <v>84544259</v>
      </c>
      <c r="E16" s="29" t="n">
        <v>74507798</v>
      </c>
      <c r="F16" s="28" t="n">
        <v>57076218</v>
      </c>
      <c r="G16" s="29" t="n">
        <v>53872560</v>
      </c>
      <c r="H16" s="28" t="n">
        <v>32190288</v>
      </c>
      <c r="I16" s="29" t="n">
        <v>32146088</v>
      </c>
      <c r="J16" s="28" t="n">
        <v>29853490</v>
      </c>
      <c r="K16" s="29" t="n">
        <v>21661838</v>
      </c>
      <c r="L16" s="28" t="n">
        <v>39663751</v>
      </c>
      <c r="M16" s="29" t="n">
        <v>18744577</v>
      </c>
    </row>
    <row r="17" outlineLevel="1" ht="15.75" customHeight="1">
      <c r="A17" s="22" t="inlineStr">
        <is>
          <t>ADQUISICIÓN DE SERVICIOS</t>
        </is>
      </c>
      <c r="B17" s="28" t="n">
        <v>735263746</v>
      </c>
      <c r="C17" s="29" t="n">
        <v>711362313</v>
      </c>
      <c r="D17" s="28" t="n">
        <v>944220113</v>
      </c>
      <c r="E17" s="29" t="n">
        <v>918451331</v>
      </c>
      <c r="F17" s="28" t="n">
        <v>1189522242</v>
      </c>
      <c r="G17" s="29" t="n">
        <v>1165867179</v>
      </c>
      <c r="H17" s="28" t="n">
        <v>1170466446</v>
      </c>
      <c r="I17" s="29" t="n">
        <v>1112752694</v>
      </c>
      <c r="J17" s="28" t="n">
        <v>919684521</v>
      </c>
      <c r="K17" s="29" t="n">
        <v>536567515</v>
      </c>
      <c r="L17" s="28" t="n">
        <v>952650290</v>
      </c>
      <c r="M17" s="29" t="n">
        <v>697421989</v>
      </c>
    </row>
    <row r="18" outlineLevel="1" ht="15.75" customHeight="1">
      <c r="A18" s="22" t="inlineStr">
        <is>
          <t>IMPUESTOS, CONTRIBUCIONES Y MULTAS</t>
        </is>
      </c>
      <c r="B18" s="28" t="n">
        <v>1800000</v>
      </c>
      <c r="C18" s="29" t="n">
        <v>74619</v>
      </c>
      <c r="D18" s="28" t="n">
        <v>3670000</v>
      </c>
      <c r="E18" s="29" t="n">
        <v>2667113</v>
      </c>
      <c r="F18" s="28" t="n">
        <v>10000000</v>
      </c>
      <c r="G18" s="29" t="n">
        <v>9217541</v>
      </c>
      <c r="H18" s="28" t="n">
        <v>8707450</v>
      </c>
      <c r="I18" s="29" t="n">
        <v>6216015</v>
      </c>
      <c r="J18" s="28" t="n">
        <v>9000000</v>
      </c>
      <c r="K18" s="29" t="n">
        <v>5084788</v>
      </c>
      <c r="L18" s="28" t="n">
        <v>10000000</v>
      </c>
      <c r="M18" s="29" t="n">
        <v>3833951</v>
      </c>
    </row>
    <row r="19" outlineLevel="1" ht="15.75" customHeight="1">
      <c r="A19" s="22" t="inlineStr">
        <is>
          <t>OPERACIONES INTERNAS POR ADQUISICION DE SERVICIOS</t>
        </is>
      </c>
      <c r="B19" s="28" t="n"/>
      <c r="C19" s="29" t="n"/>
      <c r="D19" s="28" t="n">
        <v>21000000</v>
      </c>
      <c r="E19" s="29" t="n">
        <v>20916335</v>
      </c>
      <c r="F19" s="28" t="n">
        <v>12768536</v>
      </c>
      <c r="G19" s="29" t="n">
        <v>12768536</v>
      </c>
      <c r="H19" s="28" t="n"/>
      <c r="I19" s="29" t="n"/>
      <c r="J19" s="28" t="n"/>
      <c r="K19" s="29" t="n"/>
      <c r="L19" s="28" t="n"/>
      <c r="M19" s="29" t="n"/>
    </row>
    <row r="20" ht="15.75" customHeight="1">
      <c r="A20" s="25" t="inlineStr">
        <is>
          <t>TRANSFERENCIAS</t>
        </is>
      </c>
      <c r="B20" s="26">
        <f>SUM(B21:B23)</f>
        <v/>
      </c>
      <c r="C20" s="27">
        <f>SUM(C21:C23)</f>
        <v/>
      </c>
      <c r="D20" s="26">
        <f>SUM(D21:D23)</f>
        <v/>
      </c>
      <c r="E20" s="27">
        <f>SUM(E21:E23)</f>
        <v/>
      </c>
      <c r="F20" s="26">
        <f>SUM(F21:F23)</f>
        <v/>
      </c>
      <c r="G20" s="27">
        <f>SUM(G21:G23)</f>
        <v/>
      </c>
      <c r="H20" s="26">
        <f>SUM(H21:H23)</f>
        <v/>
      </c>
      <c r="I20" s="27">
        <f>SUM(I21:I23)</f>
        <v/>
      </c>
      <c r="J20" s="26">
        <f>SUM(J21:J23)</f>
        <v/>
      </c>
      <c r="K20" s="27">
        <f>SUM(K21:K23)</f>
        <v/>
      </c>
      <c r="L20" s="26">
        <f>SUM(L21:L23)</f>
        <v/>
      </c>
      <c r="M20" s="27">
        <f>SUM(M21:M23)</f>
        <v/>
      </c>
    </row>
    <row r="21" outlineLevel="1" ht="15.75" customFormat="1" customHeight="1" s="32">
      <c r="A21" s="30" t="inlineStr">
        <is>
          <t>BIENESTAR ESTUDIANTES</t>
        </is>
      </c>
      <c r="B21" s="30" t="n">
        <v>22769640</v>
      </c>
      <c r="C21" s="31" t="n">
        <v>18822992</v>
      </c>
      <c r="D21" s="30" t="n">
        <v>82225036</v>
      </c>
      <c r="E21" s="31" t="n">
        <v>40989752</v>
      </c>
      <c r="F21" s="30" t="n">
        <v>106841286</v>
      </c>
      <c r="G21" s="31" t="n">
        <v>100966009</v>
      </c>
      <c r="H21" s="30" t="n">
        <v>198467394</v>
      </c>
      <c r="I21" s="31" t="n">
        <v>198042614</v>
      </c>
      <c r="J21" s="30" t="n">
        <v>205641500</v>
      </c>
      <c r="K21" s="31" t="n">
        <v>30821195</v>
      </c>
      <c r="L21" s="30" t="n">
        <v>167800000</v>
      </c>
      <c r="M21" s="31" t="n">
        <v>52532728</v>
      </c>
    </row>
    <row r="22" outlineLevel="1" ht="15.75" customFormat="1" customHeight="1" s="32">
      <c r="A22" s="30" t="inlineStr">
        <is>
          <t>TRANSFERENCIAS OPERACIONES INTERNAS SIN CONTRAPRESTACIÓN</t>
        </is>
      </c>
      <c r="B22" s="33" t="n"/>
      <c r="C22" s="34" t="n"/>
      <c r="D22" s="33" t="n">
        <v>110964</v>
      </c>
      <c r="E22" s="34" t="n">
        <v>0</v>
      </c>
      <c r="F22" s="33" t="n"/>
      <c r="G22" s="34" t="n"/>
      <c r="H22" s="33" t="n"/>
      <c r="I22" s="34" t="n"/>
      <c r="J22" s="33" t="n"/>
      <c r="K22" s="34" t="n"/>
      <c r="L22" s="33" t="n"/>
      <c r="M22" s="34" t="n"/>
    </row>
    <row r="23" outlineLevel="1" ht="15.75" customFormat="1" customHeight="1" s="37">
      <c r="A23" s="35" t="inlineStr">
        <is>
          <t>SENTENCIAS Y CONCILIACIONES</t>
        </is>
      </c>
      <c r="B23" s="22" t="n"/>
      <c r="C23" s="36" t="n"/>
      <c r="D23" s="22" t="n"/>
      <c r="E23" s="36" t="n"/>
      <c r="F23" s="22" t="n"/>
      <c r="G23" s="36" t="n"/>
      <c r="H23" s="22" t="n"/>
      <c r="I23" s="36" t="n"/>
      <c r="J23" s="22" t="n"/>
      <c r="K23" s="36" t="n"/>
      <c r="L23" s="22" t="n">
        <v>1603717379</v>
      </c>
      <c r="M23" s="36" t="n">
        <v>0</v>
      </c>
    </row>
    <row r="24" ht="15.75" customHeight="1">
      <c r="A24" s="38" t="inlineStr">
        <is>
          <t>II. Inversion</t>
        </is>
      </c>
      <c r="B24" s="38">
        <f>+B25+B31+B35+B41+B46+B52+B56+B59+B64</f>
        <v/>
      </c>
      <c r="C24" s="39">
        <f>+C25+C31+C35+C41+C46+C52+C56+C59+C64</f>
        <v/>
      </c>
      <c r="D24" s="38">
        <f>+D25+D31+D35+D41+D46+D52+D56+D59+D64</f>
        <v/>
      </c>
      <c r="E24" s="39">
        <f>+E25+E31+E35+E41+E46+E52+E56+E59+E64</f>
        <v/>
      </c>
      <c r="F24" s="38">
        <f>+F25+F31+F35+F41+F46+F52+F56+F59+F64</f>
        <v/>
      </c>
      <c r="G24" s="39">
        <f>+G25+G31+G35+G41+G46+G52+G56+G59+G64</f>
        <v/>
      </c>
      <c r="H24" s="38">
        <f>+H25+H31+H35+H41+H46+H52+H56+H59+H64</f>
        <v/>
      </c>
      <c r="I24" s="39">
        <f>+I25+I31+I35+I41+I46+I52+I56+I59+I64</f>
        <v/>
      </c>
      <c r="J24" s="38">
        <f>+J25+J31+J35+J41+J46+J52+J56+J59+J64</f>
        <v/>
      </c>
      <c r="K24" s="39">
        <f>+K25+K31+K35+K41+K46+K52+K56+K59+K64</f>
        <v/>
      </c>
      <c r="L24" s="38">
        <f>+L25+L31+L35+L41+L46+L52+L56+L59+L64</f>
        <v/>
      </c>
      <c r="M24" s="39">
        <f>+M25+M31+M35+M41+M46+M52+M56+M59+M64</f>
        <v/>
      </c>
    </row>
    <row r="25" ht="15.75" customHeight="1">
      <c r="A25" s="25" t="inlineStr">
        <is>
          <t>CONSTRUCCIÓN DE INFRAESTRUCTURA PROPIA DEL SECTOR</t>
        </is>
      </c>
      <c r="B25" s="40">
        <f>SUM(B26:B30)</f>
        <v/>
      </c>
      <c r="C25" s="41">
        <f>SUM(C26:C30)</f>
        <v/>
      </c>
      <c r="D25" s="40">
        <f>SUM(D26:D30)</f>
        <v/>
      </c>
      <c r="E25" s="41">
        <f>SUM(E26:E30)</f>
        <v/>
      </c>
      <c r="F25" s="40">
        <f>SUM(F26:F30)</f>
        <v/>
      </c>
      <c r="G25" s="41">
        <f>SUM(G26:G30)</f>
        <v/>
      </c>
      <c r="H25" s="40">
        <f>SUM(H26:H30)</f>
        <v/>
      </c>
      <c r="I25" s="41">
        <f>SUM(I26:I30)</f>
        <v/>
      </c>
      <c r="J25" s="40">
        <f>SUM(J26:J30)</f>
        <v/>
      </c>
      <c r="K25" s="41">
        <f>SUM(K26:K30)</f>
        <v/>
      </c>
      <c r="L25" s="40">
        <f>SUM(L26:L30)</f>
        <v/>
      </c>
      <c r="M25" s="41">
        <f>SUM(M26:M30)</f>
        <v/>
      </c>
    </row>
    <row r="26" outlineLevel="1" ht="15.75" customHeight="1">
      <c r="A26" s="22" t="inlineStr">
        <is>
          <t>SERVICIOS PERSONALES INDIRECTOS</t>
        </is>
      </c>
      <c r="B26" s="42" t="n">
        <v>1087780983</v>
      </c>
      <c r="C26" s="43" t="n">
        <v>582910778</v>
      </c>
      <c r="D26" s="42" t="n">
        <v>1962176157</v>
      </c>
      <c r="E26" s="43" t="n">
        <v>1043686837</v>
      </c>
      <c r="F26" s="42" t="n">
        <v>2648532654</v>
      </c>
      <c r="G26" s="43" t="n">
        <v>2607161397</v>
      </c>
      <c r="H26" s="42" t="n">
        <v>1029843781</v>
      </c>
      <c r="I26" s="43" t="n">
        <v>291835537</v>
      </c>
      <c r="J26" s="42" t="n">
        <v>3259169573</v>
      </c>
      <c r="K26" s="43" t="n">
        <v>2691090731</v>
      </c>
      <c r="L26" s="42" t="n">
        <v>1525842242</v>
      </c>
      <c r="M26" s="43" t="n">
        <v>1113940629</v>
      </c>
    </row>
    <row r="27" outlineLevel="1" ht="15.75" customHeight="1">
      <c r="A27" s="22" t="inlineStr">
        <is>
          <t>ADQUISICIÓN DE BIENES</t>
        </is>
      </c>
      <c r="B27" s="42" t="n">
        <v>7773417992</v>
      </c>
      <c r="C27" s="43" t="n">
        <v>2992086172</v>
      </c>
      <c r="D27" s="42" t="n">
        <v>13404581809</v>
      </c>
      <c r="E27" s="43" t="n">
        <v>13224655283</v>
      </c>
      <c r="F27" s="42" t="n">
        <v>17221210000</v>
      </c>
      <c r="G27" s="43" t="n">
        <v>12452757371</v>
      </c>
      <c r="H27" s="42" t="n">
        <v>3006655819</v>
      </c>
      <c r="I27" s="43" t="n">
        <v>0</v>
      </c>
      <c r="J27" s="42" t="n">
        <v>18788363077</v>
      </c>
      <c r="K27" s="43" t="n">
        <v>17450958314</v>
      </c>
      <c r="L27" s="42" t="n">
        <v>8723782599</v>
      </c>
      <c r="M27" s="43" t="n">
        <v>8723782599</v>
      </c>
    </row>
    <row r="28" outlineLevel="1" ht="15.75" customHeight="1">
      <c r="A28" s="22" t="inlineStr">
        <is>
          <t>ADQUISICIÓN DE SERVICIOS</t>
        </is>
      </c>
      <c r="B28" s="42" t="n">
        <v>138801025</v>
      </c>
      <c r="C28" s="43" t="n">
        <v>66455765</v>
      </c>
      <c r="D28" s="42" t="n">
        <v>150166667</v>
      </c>
      <c r="E28" s="43" t="n">
        <v>114157878</v>
      </c>
      <c r="F28" s="42" t="n">
        <v>191987718</v>
      </c>
      <c r="G28" s="43" t="n">
        <v>130792871</v>
      </c>
      <c r="H28" s="42" t="n">
        <v>107001738</v>
      </c>
      <c r="I28" s="43" t="n">
        <v>64243818</v>
      </c>
      <c r="J28" s="42" t="n">
        <v>52535860</v>
      </c>
      <c r="K28" s="43" t="n">
        <v>48428332</v>
      </c>
      <c r="L28" s="42" t="n">
        <v>60513465</v>
      </c>
      <c r="M28" s="43" t="n">
        <v>27277875</v>
      </c>
    </row>
    <row r="29" outlineLevel="1" ht="15.75" customHeight="1">
      <c r="A29" s="22" t="inlineStr">
        <is>
          <t>PRESUPUESTO POR DISTRIBUIR - CONSTRUCCIÓN DE INFRAESTRUCTURA PROPIA DEL SECTOR</t>
        </is>
      </c>
      <c r="B29" s="42" t="n">
        <v>466666666</v>
      </c>
      <c r="C29" s="43" t="n">
        <v>0</v>
      </c>
      <c r="D29" s="42" t="n"/>
      <c r="E29" s="43" t="n"/>
      <c r="F29" s="42" t="n"/>
      <c r="G29" s="43" t="n"/>
      <c r="H29" s="42" t="n"/>
      <c r="I29" s="43" t="n"/>
      <c r="J29" s="42" t="n"/>
      <c r="K29" s="43" t="n"/>
      <c r="L29" s="42" t="n"/>
      <c r="M29" s="43" t="n"/>
    </row>
    <row r="30" outlineLevel="1" ht="15.75" customHeight="1">
      <c r="A30" s="22" t="inlineStr">
        <is>
          <t>VIGENCIAS EXPIRADAS GASTOS DE INVERSIÓN</t>
        </is>
      </c>
      <c r="B30" s="42" t="n"/>
      <c r="C30" s="43" t="n"/>
      <c r="D30" s="42" t="n"/>
      <c r="E30" s="43" t="n"/>
      <c r="F30" s="42" t="n"/>
      <c r="G30" s="43" t="n"/>
      <c r="H30" s="42" t="n"/>
      <c r="I30" s="43" t="n"/>
      <c r="J30" s="42" t="n">
        <v>89624058</v>
      </c>
      <c r="K30" s="43" t="n">
        <v>80280563</v>
      </c>
      <c r="L30" s="42" t="n"/>
      <c r="M30" s="43" t="n"/>
    </row>
    <row r="31" ht="15.75" customHeight="1">
      <c r="A31" s="25" t="inlineStr">
        <is>
          <t>DIVULGACIÓN, ASISTENCIA TÉCNICA Y CAPACITACIÓN DEL RECURSO HUMANO.</t>
        </is>
      </c>
      <c r="B31" s="40">
        <f>SUM(B32:B34)</f>
        <v/>
      </c>
      <c r="C31" s="41">
        <f>SUM(C32:C34)</f>
        <v/>
      </c>
      <c r="D31" s="40">
        <f>SUM(D32:D34)</f>
        <v/>
      </c>
      <c r="E31" s="41">
        <f>SUM(E32:E34)</f>
        <v/>
      </c>
      <c r="F31" s="40">
        <f>SUM(F32:F34)</f>
        <v/>
      </c>
      <c r="G31" s="41">
        <f>SUM(G32:G34)</f>
        <v/>
      </c>
      <c r="H31" s="40">
        <f>SUM(H32:H34)</f>
        <v/>
      </c>
      <c r="I31" s="41">
        <f>SUM(I32:I34)</f>
        <v/>
      </c>
      <c r="J31" s="40">
        <f>SUM(J32:J34)</f>
        <v/>
      </c>
      <c r="K31" s="41">
        <f>SUM(K32:K34)</f>
        <v/>
      </c>
      <c r="L31" s="40">
        <f>SUM(L32:L34)</f>
        <v/>
      </c>
      <c r="M31" s="41">
        <f>SUM(M32:M34)</f>
        <v/>
      </c>
    </row>
    <row r="32" outlineLevel="1" ht="15.75" customFormat="1" customHeight="1" s="37">
      <c r="A32" s="22" t="inlineStr">
        <is>
          <t>SERVICIOS PERSONALES INDIRECTOS</t>
        </is>
      </c>
      <c r="B32" s="42" t="n">
        <v>20800000</v>
      </c>
      <c r="C32" s="43" t="n">
        <v>19400000</v>
      </c>
      <c r="D32" s="42" t="n">
        <v>99227583</v>
      </c>
      <c r="E32" s="43" t="n">
        <v>82815470</v>
      </c>
      <c r="F32" s="42" t="n">
        <v>62178110</v>
      </c>
      <c r="G32" s="43" t="n">
        <v>61623367</v>
      </c>
      <c r="H32" s="42" t="n">
        <v>194382312</v>
      </c>
      <c r="I32" s="43" t="n">
        <v>185695959</v>
      </c>
      <c r="J32" s="42" t="n">
        <v>421468261</v>
      </c>
      <c r="K32" s="43" t="n">
        <v>357413743</v>
      </c>
      <c r="L32" s="42" t="n">
        <v>492824955</v>
      </c>
      <c r="M32" s="43" t="n">
        <v>445066305</v>
      </c>
    </row>
    <row r="33" outlineLevel="1" ht="15.75" customFormat="1" customHeight="1" s="37">
      <c r="A33" s="22" t="inlineStr">
        <is>
          <t>ADQUISICIÓN DE SERVICIOS</t>
        </is>
      </c>
      <c r="B33" s="42" t="n">
        <v>38197917</v>
      </c>
      <c r="C33" s="43" t="n">
        <v>34699500</v>
      </c>
      <c r="D33" s="42" t="n">
        <v>25000000</v>
      </c>
      <c r="E33" s="43" t="n">
        <v>23845970</v>
      </c>
      <c r="F33" s="42" t="n">
        <v>18385950</v>
      </c>
      <c r="G33" s="43" t="n">
        <v>18179283</v>
      </c>
      <c r="H33" s="42" t="n">
        <v>26178223</v>
      </c>
      <c r="I33" s="43" t="n">
        <v>20802455</v>
      </c>
      <c r="J33" s="42" t="n">
        <v>42000000</v>
      </c>
      <c r="K33" s="43" t="n">
        <v>12912000</v>
      </c>
      <c r="L33" s="42" t="n">
        <v>48867753</v>
      </c>
      <c r="M33" s="43" t="n">
        <v>23410846</v>
      </c>
    </row>
    <row r="34" outlineLevel="1" ht="15.75" customFormat="1" customHeight="1" s="37">
      <c r="A34" s="22" t="inlineStr">
        <is>
          <t>ADQUISICIÓN DE BIENES</t>
        </is>
      </c>
      <c r="B34" s="42" t="n"/>
      <c r="C34" s="43" t="n"/>
      <c r="D34" s="42" t="n"/>
      <c r="E34" s="43" t="n"/>
      <c r="F34" s="42" t="n"/>
      <c r="G34" s="43" t="n"/>
      <c r="H34" s="42" t="n">
        <v>1000000</v>
      </c>
      <c r="I34" s="43" t="n">
        <v>0</v>
      </c>
      <c r="J34" s="42" t="n">
        <v>7000000</v>
      </c>
      <c r="K34" s="43" t="n">
        <v>0</v>
      </c>
      <c r="L34" s="42" t="n">
        <v>6000000</v>
      </c>
      <c r="M34" s="43" t="n">
        <v>0</v>
      </c>
    </row>
    <row r="35" ht="15.75" customHeight="1">
      <c r="A35" s="25" t="inlineStr">
        <is>
          <t>ADMINIST., CONTROL Y ORGANIZACIÓN INSTITUCIONAL PARA APOYO A LA ADMINISTRACION DEL ESTADO</t>
        </is>
      </c>
      <c r="B35" s="40">
        <f>SUM(B36:B40)</f>
        <v/>
      </c>
      <c r="C35" s="41">
        <f>SUM(C36:C40)</f>
        <v/>
      </c>
      <c r="D35" s="40">
        <f>SUM(D36:D40)</f>
        <v/>
      </c>
      <c r="E35" s="41">
        <f>SUM(E36:E40)</f>
        <v/>
      </c>
      <c r="F35" s="40">
        <f>SUM(F36:F40)</f>
        <v/>
      </c>
      <c r="G35" s="41">
        <f>SUM(G36:G40)</f>
        <v/>
      </c>
      <c r="H35" s="40">
        <f>SUM(H36:H40)</f>
        <v/>
      </c>
      <c r="I35" s="41">
        <f>SUM(I36:I40)</f>
        <v/>
      </c>
      <c r="J35" s="40">
        <f>SUM(J36:J40)</f>
        <v/>
      </c>
      <c r="K35" s="41">
        <f>SUM(K36:K40)</f>
        <v/>
      </c>
      <c r="L35" s="40">
        <f>SUM(L36:L40)</f>
        <v/>
      </c>
      <c r="M35" s="41">
        <f>SUM(M36:M40)</f>
        <v/>
      </c>
    </row>
    <row r="36" outlineLevel="1" ht="15.75" customHeight="1">
      <c r="A36" s="22" t="inlineStr">
        <is>
          <t>SERVICIOS PERSONALES INDIRECTOS</t>
        </is>
      </c>
      <c r="B36" s="42" t="n">
        <v>15820000</v>
      </c>
      <c r="C36" s="43" t="n">
        <v>15500000</v>
      </c>
      <c r="D36" s="42" t="n">
        <v>31967200</v>
      </c>
      <c r="E36" s="43" t="n">
        <v>28613600</v>
      </c>
      <c r="F36" s="42" t="n">
        <v>5247500</v>
      </c>
      <c r="G36" s="43" t="n">
        <v>4437500</v>
      </c>
      <c r="H36" s="42" t="n">
        <v>19334000</v>
      </c>
      <c r="I36" s="43" t="n">
        <v>15103333</v>
      </c>
      <c r="J36" s="42" t="n">
        <v>729030185</v>
      </c>
      <c r="K36" s="43" t="n">
        <v>83459192</v>
      </c>
      <c r="L36" s="42" t="n">
        <v>1233665342</v>
      </c>
      <c r="M36" s="43" t="n">
        <v>256804483</v>
      </c>
    </row>
    <row r="37" outlineLevel="1" ht="15.75" customHeight="1">
      <c r="A37" s="22" t="inlineStr">
        <is>
          <t>ADQUISICIÓN DE BIENES</t>
        </is>
      </c>
      <c r="B37" s="42" t="n">
        <v>50000000</v>
      </c>
      <c r="C37" s="43" t="n">
        <v>45422800</v>
      </c>
      <c r="D37" s="42" t="n">
        <v>2000000</v>
      </c>
      <c r="E37" s="43" t="n">
        <v>1990200</v>
      </c>
      <c r="F37" s="42" t="n">
        <v>9238900</v>
      </c>
      <c r="G37" s="43" t="n">
        <v>8106292</v>
      </c>
      <c r="H37" s="42" t="n">
        <v>11466000</v>
      </c>
      <c r="I37" s="43" t="n">
        <v>0</v>
      </c>
      <c r="J37" s="42" t="n">
        <v>285170708</v>
      </c>
      <c r="K37" s="43" t="n">
        <v>8087097</v>
      </c>
      <c r="L37" s="42" t="n">
        <v>501039905</v>
      </c>
      <c r="M37" s="43" t="n">
        <v>166027941</v>
      </c>
    </row>
    <row r="38" outlineLevel="1" ht="15.75" customHeight="1">
      <c r="A38" s="22" t="inlineStr">
        <is>
          <t>ADQUISICIÓN DE SERVICIOS</t>
        </is>
      </c>
      <c r="B38" s="42" t="n"/>
      <c r="C38" s="43" t="n"/>
      <c r="D38" s="42" t="n">
        <v>20900000</v>
      </c>
      <c r="E38" s="43" t="n">
        <v>18857043</v>
      </c>
      <c r="F38" s="42" t="n">
        <v>23077200</v>
      </c>
      <c r="G38" s="43" t="n">
        <v>7550615</v>
      </c>
      <c r="H38" s="42" t="n">
        <v>5037112</v>
      </c>
      <c r="I38" s="43" t="n">
        <v>3941854</v>
      </c>
      <c r="J38" s="42" t="n">
        <v>288583944</v>
      </c>
      <c r="K38" s="43" t="n">
        <v>1278684</v>
      </c>
      <c r="L38" s="42" t="n">
        <v>372653194</v>
      </c>
      <c r="M38" s="43" t="n">
        <v>147195212</v>
      </c>
    </row>
    <row r="39" outlineLevel="1" ht="15.75" customHeight="1">
      <c r="A39" s="22" t="inlineStr">
        <is>
          <t>PRESUPUESTO POR DISTRIBUIR - ADMINIST., CONTROL Y ORGANIZACIÓN INSTITUCIONAL PARA APOYO A LA ADMINIS. DEL ESTADO</t>
        </is>
      </c>
      <c r="B39" s="42" t="n"/>
      <c r="C39" s="43" t="n"/>
      <c r="D39" s="42" t="n"/>
      <c r="E39" s="43" t="n"/>
      <c r="F39" s="42" t="n"/>
      <c r="G39" s="43" t="n"/>
      <c r="H39" s="42" t="n">
        <v>436922490</v>
      </c>
      <c r="I39" s="43" t="n">
        <v>0</v>
      </c>
      <c r="J39" s="42" t="n"/>
      <c r="K39" s="43" t="n"/>
      <c r="L39" s="42" t="n"/>
      <c r="M39" s="43" t="n"/>
    </row>
    <row r="40" outlineLevel="1" ht="15.75" customHeight="1">
      <c r="A40" s="22" t="inlineStr">
        <is>
          <t xml:space="preserve">IMPUESTOS, CONTRIBUCIONES Y MULTAS </t>
        </is>
      </c>
      <c r="B40" s="42" t="n"/>
      <c r="C40" s="43" t="n"/>
      <c r="D40" s="42" t="n"/>
      <c r="E40" s="43" t="n"/>
      <c r="F40" s="42" t="n"/>
      <c r="G40" s="43" t="n"/>
      <c r="H40" s="42" t="n"/>
      <c r="I40" s="43" t="n"/>
      <c r="J40" s="42" t="n"/>
      <c r="K40" s="43" t="n"/>
      <c r="L40" s="42" t="n">
        <v>108000000</v>
      </c>
      <c r="M40" s="43" t="n">
        <v>34267996</v>
      </c>
    </row>
    <row r="41" ht="15.75" customHeight="1">
      <c r="A41" s="25" t="inlineStr">
        <is>
          <t>INVESTIGACION APLICADA A ESTUDIOS</t>
        </is>
      </c>
      <c r="B41" s="40" t="n"/>
      <c r="C41" s="41" t="n"/>
      <c r="D41" s="40">
        <f>SUM(D42:D45)</f>
        <v/>
      </c>
      <c r="E41" s="41">
        <f>SUM(E42:E45)</f>
        <v/>
      </c>
      <c r="F41" s="40">
        <f>SUM(F42:F45)</f>
        <v/>
      </c>
      <c r="G41" s="41">
        <f>SUM(G42:G45)</f>
        <v/>
      </c>
      <c r="H41" s="40">
        <f>SUM(H42:H45)</f>
        <v/>
      </c>
      <c r="I41" s="41">
        <f>SUM(I42:I45)</f>
        <v/>
      </c>
      <c r="J41" s="40">
        <f>SUM(J42:J45)</f>
        <v/>
      </c>
      <c r="K41" s="41">
        <f>SUM(K42:K45)</f>
        <v/>
      </c>
      <c r="L41" s="40">
        <f>SUM(L42:L45)</f>
        <v/>
      </c>
      <c r="M41" s="41">
        <f>SUM(M42:M45)</f>
        <v/>
      </c>
    </row>
    <row r="42" outlineLevel="1" ht="15.75" customHeight="1">
      <c r="A42" s="22" t="inlineStr">
        <is>
          <t>PRESUPUESTO POR DISTRIBUIR - INVESTIGACION APLICADA A ESTUDIOS</t>
        </is>
      </c>
      <c r="B42" s="25" t="n"/>
      <c r="C42" s="44" t="n"/>
      <c r="D42" s="25" t="n">
        <v>4815000</v>
      </c>
      <c r="E42" s="44" t="n">
        <v>0</v>
      </c>
      <c r="F42" s="25" t="n">
        <v>5893200</v>
      </c>
      <c r="G42" s="44" t="n">
        <v>0</v>
      </c>
      <c r="H42" s="25" t="n">
        <v>21280000</v>
      </c>
      <c r="I42" s="44" t="n">
        <v>0</v>
      </c>
      <c r="J42" s="25" t="n">
        <v>25000000</v>
      </c>
      <c r="K42" s="44" t="n">
        <v>0</v>
      </c>
      <c r="L42" s="25" t="n">
        <v>3322731</v>
      </c>
      <c r="M42" s="44" t="n">
        <v>0</v>
      </c>
      <c r="N42" s="45" t="n"/>
      <c r="O42" s="45" t="n"/>
    </row>
    <row r="43" outlineLevel="1" ht="15.75" customHeight="1">
      <c r="A43" s="22" t="inlineStr">
        <is>
          <t>SERVICIOS PERSONALES INDIRECTOS</t>
        </is>
      </c>
      <c r="B43" s="25" t="n"/>
      <c r="C43" s="44" t="n"/>
      <c r="D43" s="25" t="n"/>
      <c r="E43" s="44" t="n"/>
      <c r="F43" s="25" t="n"/>
      <c r="G43" s="44" t="n"/>
      <c r="H43" s="25" t="n">
        <v>18000000</v>
      </c>
      <c r="I43" s="44" t="n">
        <v>15300000</v>
      </c>
      <c r="J43" s="25" t="n">
        <v>171980000</v>
      </c>
      <c r="K43" s="44" t="n">
        <v>67734000</v>
      </c>
      <c r="L43" s="25" t="n">
        <v>283687336</v>
      </c>
      <c r="M43" s="44" t="n">
        <v>133328558</v>
      </c>
      <c r="N43" s="45" t="n"/>
      <c r="O43" s="45" t="n"/>
    </row>
    <row r="44" outlineLevel="1" ht="15.75" customHeight="1">
      <c r="A44" s="22" t="inlineStr">
        <is>
          <t>ADQUISICIÓN DE BIENES</t>
        </is>
      </c>
      <c r="B44" s="25" t="n"/>
      <c r="C44" s="44" t="n"/>
      <c r="D44" s="25" t="n"/>
      <c r="E44" s="44" t="n"/>
      <c r="F44" s="25" t="n"/>
      <c r="G44" s="44" t="n"/>
      <c r="H44" s="25" t="n"/>
      <c r="I44" s="44" t="n"/>
      <c r="J44" s="25" t="n">
        <v>18600000</v>
      </c>
      <c r="K44" s="44" t="n">
        <v>0</v>
      </c>
      <c r="L44" s="25" t="n">
        <v>53742664</v>
      </c>
      <c r="M44" s="44" t="n">
        <v>12727462</v>
      </c>
      <c r="N44" s="45" t="n"/>
      <c r="O44" s="45" t="n"/>
    </row>
    <row r="45" outlineLevel="1" ht="15.75" customHeight="1">
      <c r="A45" s="22" t="inlineStr">
        <is>
          <t>ADQUISICIÓN DE SERVICIOS</t>
        </is>
      </c>
      <c r="B45" s="25" t="n"/>
      <c r="C45" s="44" t="n"/>
      <c r="D45" s="25" t="n"/>
      <c r="E45" s="44" t="n"/>
      <c r="F45" s="25" t="n"/>
      <c r="G45" s="44" t="n"/>
      <c r="H45" s="25" t="n"/>
      <c r="I45" s="44" t="n"/>
      <c r="J45" s="25" t="n">
        <v>84223000</v>
      </c>
      <c r="K45" s="44" t="n">
        <v>348732</v>
      </c>
      <c r="L45" s="25" t="n">
        <v>85290268</v>
      </c>
      <c r="M45" s="44" t="n">
        <v>2617832</v>
      </c>
      <c r="N45" s="45" t="n"/>
      <c r="O45" s="45" t="n"/>
    </row>
    <row r="46" ht="15.75" customHeight="1">
      <c r="A46" s="25" t="inlineStr">
        <is>
          <t>PROTECCIÓN Y BIENESTAR SOCIAL DEL RECURSO HUMANO</t>
        </is>
      </c>
      <c r="B46" s="40" t="n"/>
      <c r="C46" s="41" t="n"/>
      <c r="D46" s="40" t="n"/>
      <c r="E46" s="41" t="n"/>
      <c r="F46" s="40" t="n"/>
      <c r="G46" s="41" t="n"/>
      <c r="H46" s="40">
        <f>SUM(H47:H51)</f>
        <v/>
      </c>
      <c r="I46" s="41">
        <f>SUM(I47:I51)</f>
        <v/>
      </c>
      <c r="J46" s="40">
        <f>SUM(J47:J51)</f>
        <v/>
      </c>
      <c r="K46" s="41">
        <f>SUM(K47:K51)</f>
        <v/>
      </c>
      <c r="L46" s="40">
        <f>SUM(L47:L51)</f>
        <v/>
      </c>
      <c r="M46" s="41">
        <f>SUM(M47:M51)</f>
        <v/>
      </c>
    </row>
    <row r="47" outlineLevel="1" ht="15.75" customHeight="1">
      <c r="A47" s="22" t="inlineStr">
        <is>
          <t>SERVICIOS PERSONALES INDIRECTOS</t>
        </is>
      </c>
      <c r="B47" s="25" t="n"/>
      <c r="C47" s="44" t="n"/>
      <c r="D47" s="25" t="n"/>
      <c r="E47" s="44" t="n"/>
      <c r="F47" s="25" t="n"/>
      <c r="G47" s="44" t="n"/>
      <c r="H47" s="25" t="n">
        <v>34800000</v>
      </c>
      <c r="I47" s="44" t="n">
        <v>18100000</v>
      </c>
      <c r="J47" s="25" t="n">
        <v>115100000</v>
      </c>
      <c r="K47" s="44" t="n">
        <v>93233333</v>
      </c>
      <c r="L47" s="25" t="n">
        <v>149699969</v>
      </c>
      <c r="M47" s="44" t="n">
        <v>97533334</v>
      </c>
    </row>
    <row r="48" outlineLevel="1" ht="15.75" customHeight="1">
      <c r="A48" s="22" t="inlineStr">
        <is>
          <t>ADQUISICIÓN DE BIENES</t>
        </is>
      </c>
      <c r="B48" s="25" t="n"/>
      <c r="C48" s="44" t="n"/>
      <c r="D48" s="25" t="n"/>
      <c r="E48" s="44" t="n"/>
      <c r="F48" s="25" t="n"/>
      <c r="G48" s="44" t="n"/>
      <c r="H48" s="25" t="n">
        <v>122600000</v>
      </c>
      <c r="I48" s="44" t="n">
        <v>200000</v>
      </c>
      <c r="J48" s="25" t="n">
        <v>136200000</v>
      </c>
      <c r="K48" s="44" t="n">
        <v>0</v>
      </c>
      <c r="L48" s="25" t="n">
        <v>178600000</v>
      </c>
      <c r="M48" s="44" t="n">
        <v>1700000</v>
      </c>
    </row>
    <row r="49" outlineLevel="1" ht="15.75" customHeight="1">
      <c r="A49" s="22" t="inlineStr">
        <is>
          <t>ADQUISICIÓN DE SERVICIOS</t>
        </is>
      </c>
      <c r="B49" s="25" t="n"/>
      <c r="C49" s="44" t="n"/>
      <c r="D49" s="25" t="n"/>
      <c r="E49" s="44" t="n"/>
      <c r="F49" s="25" t="n"/>
      <c r="G49" s="44" t="n"/>
      <c r="H49" s="25" t="n">
        <v>5000000</v>
      </c>
      <c r="I49" s="44" t="n">
        <v>3300000</v>
      </c>
      <c r="J49" s="25" t="n">
        <v>21700000</v>
      </c>
      <c r="K49" s="44" t="n">
        <v>3266698</v>
      </c>
      <c r="L49" s="25" t="n">
        <v>46000000</v>
      </c>
      <c r="M49" s="44" t="n">
        <v>12760527</v>
      </c>
    </row>
    <row r="50" outlineLevel="1" ht="15.75" customHeight="1">
      <c r="A50" s="22" t="inlineStr">
        <is>
          <t xml:space="preserve"> BIENESTAR ESTUDIANTES</t>
        </is>
      </c>
      <c r="B50" s="25" t="n"/>
      <c r="C50" s="44" t="n"/>
      <c r="D50" s="25" t="n"/>
      <c r="E50" s="44" t="n"/>
      <c r="F50" s="25" t="n"/>
      <c r="G50" s="44" t="n"/>
      <c r="H50" s="25" t="n"/>
      <c r="I50" s="44" t="n"/>
      <c r="J50" s="25" t="n">
        <v>140000000</v>
      </c>
      <c r="K50" s="44" t="n">
        <v>74400000</v>
      </c>
      <c r="L50" s="25" t="n"/>
      <c r="M50" s="44" t="n"/>
    </row>
    <row r="51" outlineLevel="1" ht="15.75" customHeight="1">
      <c r="A51" s="22" t="inlineStr">
        <is>
          <t>OTRAS TRANSFERENCIAS</t>
        </is>
      </c>
      <c r="B51" s="25" t="n"/>
      <c r="C51" s="44" t="n"/>
      <c r="D51" s="25" t="n"/>
      <c r="E51" s="44" t="n"/>
      <c r="F51" s="25" t="n"/>
      <c r="G51" s="44" t="n"/>
      <c r="H51" s="25" t="n"/>
      <c r="I51" s="44" t="n"/>
      <c r="J51" s="25" t="n"/>
      <c r="K51" s="44" t="n"/>
      <c r="L51" s="25" t="n">
        <v>140000000</v>
      </c>
      <c r="M51" s="44" t="n">
        <v>107950000</v>
      </c>
    </row>
    <row r="52" ht="15.75" customHeight="1">
      <c r="A52" s="25" t="inlineStr">
        <is>
          <t>ESTUDIOS DE PRE INVERSIÓN</t>
        </is>
      </c>
      <c r="B52" s="40" t="n"/>
      <c r="C52" s="41" t="n"/>
      <c r="D52" s="40" t="n"/>
      <c r="E52" s="41" t="n"/>
      <c r="F52" s="40" t="n"/>
      <c r="G52" s="41" t="n"/>
      <c r="H52" s="40">
        <f>SUM(H53:H55)</f>
        <v/>
      </c>
      <c r="I52" s="41">
        <f>SUM(I53:I55)</f>
        <v/>
      </c>
      <c r="J52" s="40">
        <f>SUM(J53:J55)</f>
        <v/>
      </c>
      <c r="K52" s="41">
        <f>SUM(K53:K55)</f>
        <v/>
      </c>
      <c r="L52" s="40">
        <f>SUM(L53:L55)</f>
        <v/>
      </c>
      <c r="M52" s="41">
        <f>SUM(M53:M55)</f>
        <v/>
      </c>
    </row>
    <row r="53" outlineLevel="1" ht="15.75" customFormat="1" customHeight="1" s="37">
      <c r="A53" s="35" t="inlineStr">
        <is>
          <t>SERVICIOS PERSONALES INDIRECTOS</t>
        </is>
      </c>
      <c r="B53" s="22" t="n"/>
      <c r="C53" s="36" t="n"/>
      <c r="D53" s="22" t="n"/>
      <c r="E53" s="36" t="n"/>
      <c r="F53" s="22" t="n"/>
      <c r="G53" s="36" t="n"/>
      <c r="H53" s="22" t="n">
        <v>173000000</v>
      </c>
      <c r="I53" s="36" t="n">
        <v>63115200</v>
      </c>
      <c r="J53" s="22" t="n">
        <v>177006740</v>
      </c>
      <c r="K53" s="36" t="n">
        <v>158153048</v>
      </c>
      <c r="L53" s="22" t="n">
        <v>22853692</v>
      </c>
      <c r="M53" s="36" t="n">
        <v>19879200</v>
      </c>
    </row>
    <row r="54" outlineLevel="1" ht="15.75" customFormat="1" customHeight="1" s="37">
      <c r="A54" s="35" t="inlineStr">
        <is>
          <t>ADQUISICIÓN DE BIENES</t>
        </is>
      </c>
      <c r="B54" s="22" t="n"/>
      <c r="C54" s="36" t="n"/>
      <c r="D54" s="22" t="n"/>
      <c r="E54" s="36" t="n"/>
      <c r="F54" s="22" t="n"/>
      <c r="G54" s="36" t="n"/>
      <c r="H54" s="22" t="n">
        <v>2432940</v>
      </c>
      <c r="I54" s="36" t="n">
        <v>0</v>
      </c>
      <c r="J54" s="22" t="n">
        <v>2000000</v>
      </c>
      <c r="K54" s="36" t="n">
        <v>0</v>
      </c>
      <c r="L54" s="22" t="n"/>
      <c r="M54" s="36" t="n"/>
    </row>
    <row r="55" outlineLevel="1" ht="15.75" customFormat="1" customHeight="1" s="37">
      <c r="A55" s="35" t="inlineStr">
        <is>
          <t>ADQUISICIÓN DE SERVICIOS</t>
        </is>
      </c>
      <c r="B55" s="22" t="n"/>
      <c r="C55" s="36" t="n"/>
      <c r="D55" s="22" t="n"/>
      <c r="E55" s="36" t="n"/>
      <c r="F55" s="22" t="n"/>
      <c r="G55" s="36" t="n"/>
      <c r="H55" s="22" t="n">
        <v>5000000</v>
      </c>
      <c r="I55" s="36" t="n">
        <v>0</v>
      </c>
      <c r="J55" s="22" t="n">
        <v>2000000</v>
      </c>
      <c r="K55" s="36" t="n">
        <v>0</v>
      </c>
      <c r="L55" s="22" t="n"/>
      <c r="M55" s="36" t="n"/>
    </row>
    <row r="56" ht="15.75" customHeight="1">
      <c r="A56" s="25" t="inlineStr">
        <is>
          <t>MEJORAMIENTO Y MANTENIMIENTO DE INFRAESTRUCTURA PROPIA DEL SECTOR</t>
        </is>
      </c>
      <c r="B56" s="40" t="n"/>
      <c r="C56" s="41" t="n"/>
      <c r="D56" s="40" t="n"/>
      <c r="E56" s="41" t="n"/>
      <c r="F56" s="40" t="n"/>
      <c r="G56" s="41" t="n"/>
      <c r="H56" s="40" t="n"/>
      <c r="I56" s="41" t="n"/>
      <c r="J56" s="40">
        <f>SUM(J57:J58)</f>
        <v/>
      </c>
      <c r="K56" s="41" t="n">
        <v>0</v>
      </c>
      <c r="L56" s="40" t="n"/>
      <c r="M56" s="41" t="n"/>
    </row>
    <row r="57" outlineLevel="1" ht="15.75" customHeight="1">
      <c r="A57" s="22" t="inlineStr">
        <is>
          <t>ADQUISICIÓN DE BIENES</t>
        </is>
      </c>
      <c r="B57" s="25" t="n"/>
      <c r="C57" s="44" t="n"/>
      <c r="D57" s="25" t="n"/>
      <c r="E57" s="44" t="n"/>
      <c r="F57" s="25" t="n"/>
      <c r="G57" s="44" t="n"/>
      <c r="H57" s="25" t="n"/>
      <c r="I57" s="44" t="n"/>
      <c r="J57" s="25" t="n">
        <v>5000000</v>
      </c>
      <c r="K57" s="44" t="n"/>
      <c r="L57" s="25" t="n"/>
      <c r="M57" s="44" t="n"/>
    </row>
    <row r="58" outlineLevel="1" ht="15.75" customHeight="1">
      <c r="A58" s="22" t="inlineStr">
        <is>
          <t>PRESUPUESTO POR DISTRIBUIR - MEJORAMIENTO Y MANTENIMIENTO DE INFRAESTRUCTURA PROPIA DEL SECTOR</t>
        </is>
      </c>
      <c r="B58" s="25" t="n"/>
      <c r="C58" s="41" t="n"/>
      <c r="D58" s="25" t="n"/>
      <c r="E58" s="41" t="n"/>
      <c r="F58" s="25" t="n"/>
      <c r="G58" s="41" t="n"/>
      <c r="H58" s="25" t="n"/>
      <c r="I58" s="41" t="n"/>
      <c r="J58" s="25" t="n">
        <v>69298006</v>
      </c>
      <c r="K58" s="41" t="n"/>
      <c r="L58" s="25" t="n"/>
      <c r="M58" s="41" t="n"/>
    </row>
    <row r="59" ht="15.75" customHeight="1">
      <c r="A59" s="25" t="inlineStr">
        <is>
          <t>ADQUS. Y/O PRODUCC. DE EQUIPOS, MATER. SUMINIS. Y SERVICIOS PROPIOS DEL SECTOR</t>
        </is>
      </c>
      <c r="B59" s="40" t="n"/>
      <c r="C59" s="41" t="n"/>
      <c r="D59" s="40" t="n"/>
      <c r="E59" s="41" t="n"/>
      <c r="F59" s="40" t="n"/>
      <c r="G59" s="41" t="n"/>
      <c r="H59" s="40" t="n"/>
      <c r="I59" s="41" t="n"/>
      <c r="J59" s="40">
        <f>SUM(J60:J63)</f>
        <v/>
      </c>
      <c r="K59" s="41">
        <f>SUM(K60:K63)</f>
        <v/>
      </c>
      <c r="L59" s="40">
        <f>SUM(L60:L63)</f>
        <v/>
      </c>
      <c r="M59" s="41">
        <f>SUM(M60:M63)</f>
        <v/>
      </c>
    </row>
    <row r="60" outlineLevel="1" ht="15.75" customHeight="1">
      <c r="A60" s="22" t="inlineStr">
        <is>
          <t>SERVICIOS PERSONALES INDIRECTOS</t>
        </is>
      </c>
      <c r="B60" s="25" t="n"/>
      <c r="C60" s="44" t="n"/>
      <c r="D60" s="25" t="n"/>
      <c r="E60" s="44" t="n"/>
      <c r="F60" s="25" t="n"/>
      <c r="G60" s="44" t="n"/>
      <c r="H60" s="25" t="n"/>
      <c r="I60" s="44" t="n"/>
      <c r="J60" s="25" t="n">
        <v>44559600</v>
      </c>
      <c r="K60" s="44" t="n">
        <v>0</v>
      </c>
      <c r="L60" s="25" t="n">
        <v>40676000</v>
      </c>
      <c r="M60" s="44" t="n">
        <v>38147984</v>
      </c>
    </row>
    <row r="61" outlineLevel="1" ht="15.75" customHeight="1">
      <c r="A61" s="22" t="inlineStr">
        <is>
          <t>ADQUISICIÓN DE BIENES</t>
        </is>
      </c>
      <c r="B61" s="25" t="n"/>
      <c r="C61" s="44" t="n"/>
      <c r="D61" s="25" t="n"/>
      <c r="E61" s="44" t="n"/>
      <c r="F61" s="25" t="n"/>
      <c r="G61" s="44" t="n"/>
      <c r="H61" s="25" t="n"/>
      <c r="I61" s="44" t="n"/>
      <c r="J61" s="25" t="n">
        <v>143379917</v>
      </c>
      <c r="K61" s="44" t="n">
        <v>81792129</v>
      </c>
      <c r="L61" s="25" t="n">
        <v>133540505</v>
      </c>
      <c r="M61" s="44" t="n">
        <v>130923455</v>
      </c>
    </row>
    <row r="62" outlineLevel="1" ht="15.75" customHeight="1">
      <c r="A62" s="22" t="inlineStr">
        <is>
          <t>ADQUISICIÓN DE SERVICIOS</t>
        </is>
      </c>
      <c r="B62" s="25" t="n"/>
      <c r="C62" s="44" t="n"/>
      <c r="D62" s="25" t="n"/>
      <c r="E62" s="44" t="n"/>
      <c r="F62" s="25" t="n"/>
      <c r="G62" s="44" t="n"/>
      <c r="H62" s="25" t="n"/>
      <c r="I62" s="44" t="n"/>
      <c r="J62" s="25" t="n">
        <v>4260483</v>
      </c>
      <c r="K62" s="44" t="n">
        <v>0</v>
      </c>
      <c r="L62" s="25" t="n">
        <v>26191366</v>
      </c>
      <c r="M62" s="44" t="n">
        <v>14337117</v>
      </c>
    </row>
    <row r="63" outlineLevel="1" ht="15.75" customHeight="1">
      <c r="A63" s="22" t="inlineStr">
        <is>
          <t>PRESUPUESTO POR DISTRIBUIR - ADQUS. Y/O PRODUCC. DE EQUIPOS, MATER. SUMINIS. Y SERVICIOS PROPIOS DEL SECTOR</t>
        </is>
      </c>
      <c r="B63" s="25" t="n"/>
      <c r="C63" s="44" t="n"/>
      <c r="D63" s="25" t="n"/>
      <c r="E63" s="44" t="n"/>
      <c r="F63" s="25" t="n"/>
      <c r="G63" s="44" t="n"/>
      <c r="H63" s="25" t="n"/>
      <c r="I63" s="44" t="n"/>
      <c r="J63" s="25" t="n">
        <v>5000000</v>
      </c>
      <c r="K63" s="44" t="n">
        <v>0</v>
      </c>
      <c r="L63" s="25" t="n"/>
      <c r="M63" s="44" t="n"/>
    </row>
    <row r="64" ht="15.75" customHeight="1">
      <c r="A64" s="25" t="inlineStr">
        <is>
          <t>INVERSIÓN PENDIENTE POR DISTRIBUIR</t>
        </is>
      </c>
      <c r="B64" s="40" t="n"/>
      <c r="C64" s="41" t="n"/>
      <c r="D64" s="40" t="n"/>
      <c r="E64" s="41" t="n"/>
      <c r="F64" s="40" t="n"/>
      <c r="G64" s="41" t="n"/>
      <c r="H64" s="40" t="n">
        <v>2887131699</v>
      </c>
      <c r="I64" s="41" t="n">
        <v>0</v>
      </c>
      <c r="J64" s="40" t="n"/>
      <c r="K64" s="41" t="n"/>
      <c r="L64" s="40" t="n"/>
      <c r="M64" s="41" t="n"/>
    </row>
    <row r="65" ht="15.75" customHeight="1">
      <c r="A65" s="12" t="inlineStr">
        <is>
          <t>- FONDOS ESPECIALES</t>
        </is>
      </c>
      <c r="B65" s="13">
        <f>+B66+B74+B84</f>
        <v/>
      </c>
      <c r="C65" s="14">
        <f>+C66+C74+C84</f>
        <v/>
      </c>
      <c r="D65" s="13">
        <f>+D66+D74+D84</f>
        <v/>
      </c>
      <c r="E65" s="14">
        <f>+E66+E74+E84</f>
        <v/>
      </c>
      <c r="F65" s="13">
        <f>+F66+F74+F84</f>
        <v/>
      </c>
      <c r="G65" s="14">
        <f>+G66+G74+G84</f>
        <v/>
      </c>
      <c r="H65" s="13">
        <f>+H66+H74+H84</f>
        <v/>
      </c>
      <c r="I65" s="14">
        <f>+I66+I74+I84</f>
        <v/>
      </c>
      <c r="J65" s="13">
        <f>+J66+J74+J84</f>
        <v/>
      </c>
      <c r="K65" s="14">
        <f>+K66+K74+K84</f>
        <v/>
      </c>
      <c r="L65" s="13">
        <f>+L66+L74+L84</f>
        <v/>
      </c>
      <c r="M65" s="14">
        <f>+M66+M74+M84</f>
        <v/>
      </c>
    </row>
    <row r="66" ht="15.75" customHeight="1">
      <c r="A66" s="25" t="inlineStr">
        <is>
          <t>GASTOS DESTINACION REGULADA</t>
        </is>
      </c>
      <c r="B66" s="40">
        <f>SUM(B67:B73)</f>
        <v/>
      </c>
      <c r="C66" s="41">
        <f>SUM(C67:C73)</f>
        <v/>
      </c>
      <c r="D66" s="40">
        <f>SUM(D67:D73)</f>
        <v/>
      </c>
      <c r="E66" s="41">
        <f>SUM(E67:E73)</f>
        <v/>
      </c>
      <c r="F66" s="40">
        <f>SUM(F67:F73)</f>
        <v/>
      </c>
      <c r="G66" s="41">
        <f>SUM(G67:G73)</f>
        <v/>
      </c>
      <c r="H66" s="40">
        <f>SUM(H67:H73)</f>
        <v/>
      </c>
      <c r="I66" s="41">
        <f>SUM(I67:I73)</f>
        <v/>
      </c>
      <c r="J66" s="40">
        <f>SUM(J67:J73)</f>
        <v/>
      </c>
      <c r="K66" s="41">
        <f>SUM(K67:K73)</f>
        <v/>
      </c>
      <c r="L66" s="40">
        <f>SUM(L67:L73)</f>
        <v/>
      </c>
      <c r="M66" s="41">
        <f>SUM(M67:M73)</f>
        <v/>
      </c>
    </row>
    <row r="67" outlineLevel="1" ht="15.75" customHeight="1">
      <c r="A67" s="22" t="inlineStr">
        <is>
          <t>BIENESTAR ESTUDIANTES REGULADA</t>
        </is>
      </c>
      <c r="B67" s="42" t="n">
        <v>77873942</v>
      </c>
      <c r="C67" s="43" t="n">
        <v>77787372</v>
      </c>
      <c r="D67" s="42" t="n">
        <v>66660259</v>
      </c>
      <c r="E67" s="43" t="n">
        <v>66382481</v>
      </c>
      <c r="F67" s="42" t="n">
        <v>70506080</v>
      </c>
      <c r="G67" s="43" t="n">
        <v>23233050</v>
      </c>
      <c r="H67" s="42" t="n">
        <v>66331911</v>
      </c>
      <c r="I67" s="43" t="n">
        <v>66327252</v>
      </c>
      <c r="J67" s="42" t="n"/>
      <c r="K67" s="43" t="n"/>
      <c r="L67" s="42" t="n"/>
      <c r="M67" s="43" t="n"/>
    </row>
    <row r="68" outlineLevel="1" ht="15.75" customHeight="1">
      <c r="A68" s="22" t="inlineStr">
        <is>
          <t>PRESUPUESTO POR DISTRIBUIR - REGULADA</t>
        </is>
      </c>
      <c r="B68" s="42" t="n">
        <v>37033544</v>
      </c>
      <c r="C68" s="43" t="n">
        <v>0</v>
      </c>
      <c r="D68" s="42" t="n">
        <v>321688137</v>
      </c>
      <c r="E68" s="43" t="n">
        <v>0</v>
      </c>
      <c r="F68" s="42" t="n"/>
      <c r="G68" s="43" t="n"/>
      <c r="H68" s="42" t="n"/>
      <c r="I68" s="43" t="n"/>
      <c r="J68" s="42" t="n">
        <v>58848352</v>
      </c>
      <c r="K68" s="43" t="n">
        <v>0</v>
      </c>
      <c r="L68" s="42" t="n">
        <v>13648640</v>
      </c>
      <c r="M68" s="43" t="n">
        <v>0</v>
      </c>
    </row>
    <row r="69" outlineLevel="1" ht="15.75" customHeight="1">
      <c r="A69" s="22" t="inlineStr">
        <is>
          <t>SERVICIOS PERSONALES INDIRECTOS - REGULADA</t>
        </is>
      </c>
      <c r="B69" s="42" t="n">
        <v>26044348</v>
      </c>
      <c r="C69" s="43" t="n">
        <v>23092000</v>
      </c>
      <c r="D69" s="42" t="n">
        <v>57726184</v>
      </c>
      <c r="E69" s="43" t="n">
        <v>57561932</v>
      </c>
      <c r="F69" s="42" t="n">
        <v>282041806</v>
      </c>
      <c r="G69" s="43" t="n">
        <v>113221948</v>
      </c>
      <c r="H69" s="42" t="n">
        <v>208473523</v>
      </c>
      <c r="I69" s="43" t="n">
        <v>145815904</v>
      </c>
      <c r="J69" s="42" t="n">
        <v>39602049</v>
      </c>
      <c r="K69" s="43" t="n">
        <v>13554000</v>
      </c>
      <c r="L69" s="42" t="n">
        <v>90042928</v>
      </c>
      <c r="M69" s="43" t="n">
        <v>19076000</v>
      </c>
    </row>
    <row r="70" outlineLevel="1" ht="15.75" customHeight="1">
      <c r="A70" s="22" t="inlineStr">
        <is>
          <t>ADQUISICIÓN DE SERVICIOS REGULADA</t>
        </is>
      </c>
      <c r="B70" s="42" t="n">
        <v>10000000</v>
      </c>
      <c r="C70" s="43" t="n">
        <v>8261891</v>
      </c>
      <c r="D70" s="42" t="n">
        <v>27693391</v>
      </c>
      <c r="E70" s="43" t="n">
        <v>27519133</v>
      </c>
      <c r="F70" s="42" t="n">
        <v>143541227</v>
      </c>
      <c r="G70" s="43" t="n">
        <v>69482211</v>
      </c>
      <c r="H70" s="42" t="n">
        <v>140273522</v>
      </c>
      <c r="I70" s="43" t="n">
        <v>109506162</v>
      </c>
      <c r="J70" s="42" t="n">
        <v>101427446</v>
      </c>
      <c r="K70" s="43" t="n">
        <v>46073674</v>
      </c>
      <c r="L70" s="42" t="n">
        <v>46551121</v>
      </c>
      <c r="M70" s="43" t="n">
        <v>8417327</v>
      </c>
    </row>
    <row r="71" outlineLevel="1" ht="15.75" customHeight="1">
      <c r="A71" s="22" t="inlineStr">
        <is>
          <t>IMPUESTOS , CONTRIBUCIONES  Y MULTAS REGULADA</t>
        </is>
      </c>
      <c r="B71" s="42" t="n">
        <v>500000</v>
      </c>
      <c r="C71" s="43" t="n">
        <v>0</v>
      </c>
      <c r="D71" s="42" t="n">
        <v>500000</v>
      </c>
      <c r="E71" s="43" t="n">
        <v>293040</v>
      </c>
      <c r="F71" s="42" t="n">
        <v>500060</v>
      </c>
      <c r="G71" s="43" t="n">
        <v>107651</v>
      </c>
      <c r="H71" s="42" t="n">
        <v>286631</v>
      </c>
      <c r="I71" s="43" t="n">
        <v>286631</v>
      </c>
      <c r="J71" s="42" t="n">
        <v>1000000</v>
      </c>
      <c r="K71" s="43" t="n">
        <v>15592</v>
      </c>
      <c r="L71" s="42" t="n">
        <v>1000000</v>
      </c>
      <c r="M71" s="43" t="n">
        <v>4456</v>
      </c>
    </row>
    <row r="72" outlineLevel="1" ht="15.75" customHeight="1">
      <c r="A72" s="22" t="inlineStr">
        <is>
          <t>ADQUISICIÓN DE BIENES - REGULADA</t>
        </is>
      </c>
      <c r="B72" s="42" t="n"/>
      <c r="C72" s="43" t="n"/>
      <c r="D72" s="42" t="n"/>
      <c r="E72" s="43" t="n"/>
      <c r="F72" s="42" t="n">
        <v>24065600</v>
      </c>
      <c r="G72" s="43" t="n">
        <v>16507380</v>
      </c>
      <c r="H72" s="42" t="n">
        <v>1000000</v>
      </c>
      <c r="I72" s="43" t="n">
        <v>0</v>
      </c>
      <c r="J72" s="42" t="n">
        <v>5968000</v>
      </c>
      <c r="K72" s="43" t="n">
        <v>1476784</v>
      </c>
      <c r="L72" s="42" t="n">
        <v>1000000</v>
      </c>
      <c r="M72" s="43" t="n">
        <v>0</v>
      </c>
    </row>
    <row r="73" outlineLevel="1" ht="15.75" customHeight="1">
      <c r="A73" s="22" t="inlineStr">
        <is>
          <t>TRANSFERENCIAS OPERACIONES INTERNAS SIN CONTRAPRESTACIÓN REGULADA</t>
        </is>
      </c>
      <c r="B73" s="42" t="n"/>
      <c r="C73" s="43" t="n"/>
      <c r="D73" s="42" t="n"/>
      <c r="E73" s="43" t="n"/>
      <c r="F73" s="42" t="n">
        <v>198311051</v>
      </c>
      <c r="G73" s="43" t="n">
        <v>198311051</v>
      </c>
      <c r="H73" s="42" t="n"/>
      <c r="I73" s="43" t="n"/>
      <c r="J73" s="42" t="n"/>
      <c r="K73" s="43" t="n"/>
      <c r="L73" s="42" t="n">
        <v>7280800</v>
      </c>
      <c r="M73" s="43" t="n">
        <v>7228800</v>
      </c>
    </row>
    <row r="74" ht="15.75" customHeight="1">
      <c r="A74" s="25" t="inlineStr">
        <is>
          <t>GASTOS DE DESTINACIÓN ESPECIFICA</t>
        </is>
      </c>
      <c r="B74" s="40">
        <f>SUM(B75:B83)</f>
        <v/>
      </c>
      <c r="C74" s="41">
        <f>SUM(C75:C83)</f>
        <v/>
      </c>
      <c r="D74" s="40">
        <f>SUM(D75:D83)</f>
        <v/>
      </c>
      <c r="E74" s="41">
        <f>SUM(E75:E83)</f>
        <v/>
      </c>
      <c r="F74" s="40">
        <f>SUM(F75:F83)</f>
        <v/>
      </c>
      <c r="G74" s="41">
        <f>SUM(G75:G83)</f>
        <v/>
      </c>
      <c r="H74" s="40">
        <f>SUM(H75:H83)</f>
        <v/>
      </c>
      <c r="I74" s="41">
        <f>SUM(I75:I83)</f>
        <v/>
      </c>
      <c r="J74" s="40">
        <f>SUM(J75:J83)</f>
        <v/>
      </c>
      <c r="K74" s="41">
        <f>SUM(K75:K83)</f>
        <v/>
      </c>
      <c r="L74" s="40">
        <f>SUM(L75:L83)</f>
        <v/>
      </c>
      <c r="M74" s="41">
        <f>SUM(M75:M83)</f>
        <v/>
      </c>
      <c r="P74" s="2" t="n"/>
    </row>
    <row r="75" outlineLevel="1" ht="15.75" customHeight="1">
      <c r="A75" s="22" t="inlineStr">
        <is>
          <t>SERVICIOS PERSONALES INDIRECTOS - ESPECIFICA</t>
        </is>
      </c>
      <c r="B75" s="42" t="n">
        <v>1869585399</v>
      </c>
      <c r="C75" s="43" t="n">
        <v>1755866840</v>
      </c>
      <c r="D75" s="42" t="n">
        <v>923513659</v>
      </c>
      <c r="E75" s="43" t="n">
        <v>903927550</v>
      </c>
      <c r="F75" s="42" t="n">
        <v>1027194522</v>
      </c>
      <c r="G75" s="43" t="n">
        <v>722414935</v>
      </c>
      <c r="H75" s="42" t="n">
        <v>330604984</v>
      </c>
      <c r="I75" s="43" t="n">
        <v>125690953</v>
      </c>
      <c r="J75" s="42" t="n">
        <v>42036135</v>
      </c>
      <c r="K75" s="43" t="n">
        <v>20280800</v>
      </c>
      <c r="L75" s="42" t="n">
        <v>114800000</v>
      </c>
      <c r="M75" s="43" t="n">
        <v>31783962</v>
      </c>
      <c r="P75" s="2" t="n"/>
    </row>
    <row r="76" outlineLevel="1" ht="15.75" customHeight="1">
      <c r="A76" s="22" t="inlineStr">
        <is>
          <t>ADQUISICIÓN DE BIENES - ESPECIFICA</t>
        </is>
      </c>
      <c r="B76" s="42" t="n">
        <v>39299000</v>
      </c>
      <c r="C76" s="43" t="n">
        <v>19646821</v>
      </c>
      <c r="D76" s="42" t="n">
        <v>144845577</v>
      </c>
      <c r="E76" s="43" t="n">
        <v>144845577</v>
      </c>
      <c r="F76" s="42" t="n">
        <v>1305221390</v>
      </c>
      <c r="G76" s="43" t="n">
        <v>706423539</v>
      </c>
      <c r="H76" s="42" t="n">
        <v>551226458</v>
      </c>
      <c r="I76" s="43" t="n">
        <v>13793782</v>
      </c>
      <c r="J76" s="42" t="n">
        <v>12853420</v>
      </c>
      <c r="K76" s="43" t="n">
        <v>0</v>
      </c>
      <c r="L76" s="42" t="n">
        <v>18000000</v>
      </c>
      <c r="M76" s="43" t="n">
        <v>0</v>
      </c>
      <c r="P76" s="2" t="n"/>
    </row>
    <row r="77" outlineLevel="1" ht="15.75" customHeight="1">
      <c r="A77" s="22" t="inlineStr">
        <is>
          <t>ADQUISICIÓN DE SERVICIOS ESPECIFICA</t>
        </is>
      </c>
      <c r="B77" s="42" t="n">
        <v>300242376</v>
      </c>
      <c r="C77" s="43" t="n">
        <v>212347916</v>
      </c>
      <c r="D77" s="42" t="n">
        <v>47308478</v>
      </c>
      <c r="E77" s="43" t="n">
        <v>43164425</v>
      </c>
      <c r="F77" s="42" t="n">
        <v>708426691</v>
      </c>
      <c r="G77" s="43" t="n">
        <v>518743595</v>
      </c>
      <c r="H77" s="42" t="n">
        <v>267203437</v>
      </c>
      <c r="I77" s="43" t="n">
        <v>84541980</v>
      </c>
      <c r="J77" s="42" t="n">
        <v>11458458</v>
      </c>
      <c r="K77" s="43" t="n">
        <v>0</v>
      </c>
      <c r="L77" s="42" t="n">
        <v>59073229</v>
      </c>
      <c r="M77" s="43" t="n">
        <v>0</v>
      </c>
      <c r="P77" s="2" t="n"/>
    </row>
    <row r="78" outlineLevel="1" ht="15.75" customHeight="1">
      <c r="A78" s="22" t="inlineStr">
        <is>
          <t>TRANSFERENCIAS ENTRE FONDOS SIN CONTRAPRESTACIÓN - ESPECIFICA</t>
        </is>
      </c>
      <c r="B78" s="42" t="n">
        <v>123244799</v>
      </c>
      <c r="C78" s="43" t="n">
        <v>0</v>
      </c>
      <c r="D78" s="42" t="n">
        <v>123244799</v>
      </c>
      <c r="E78" s="43" t="n">
        <v>0</v>
      </c>
      <c r="F78" s="42" t="n">
        <v>12473523</v>
      </c>
      <c r="G78" s="43" t="n">
        <v>3000000</v>
      </c>
      <c r="H78" s="42" t="n">
        <v>3236762</v>
      </c>
      <c r="I78" s="43" t="n">
        <v>0</v>
      </c>
      <c r="J78" s="42" t="n"/>
      <c r="K78" s="43" t="n"/>
      <c r="L78" s="42" t="n"/>
      <c r="M78" s="43" t="n"/>
      <c r="P78" s="2" t="n"/>
    </row>
    <row r="79" outlineLevel="1" ht="15.75" customHeight="1">
      <c r="A79" s="22" t="inlineStr">
        <is>
          <t>TRANSFERENCIAS EXTENSION  - ESPECIFICA</t>
        </is>
      </c>
      <c r="B79" s="42" t="n">
        <v>569206826</v>
      </c>
      <c r="C79" s="43" t="n">
        <v>0</v>
      </c>
      <c r="D79" s="42" t="n">
        <v>853821751</v>
      </c>
      <c r="E79" s="43" t="n">
        <v>69146368</v>
      </c>
      <c r="F79" s="42" t="n">
        <v>962110757</v>
      </c>
      <c r="G79" s="43" t="n">
        <v>838865558</v>
      </c>
      <c r="H79" s="42" t="n">
        <v>128395552</v>
      </c>
      <c r="I79" s="43" t="n">
        <v>123245199</v>
      </c>
      <c r="J79" s="42" t="n">
        <v>8836026</v>
      </c>
      <c r="K79" s="43" t="n">
        <v>6948000</v>
      </c>
      <c r="L79" s="42" t="n">
        <v>10662219</v>
      </c>
      <c r="M79" s="43" t="n">
        <v>10662219</v>
      </c>
    </row>
    <row r="80" outlineLevel="1" ht="15.75" customHeight="1">
      <c r="A80" s="22" t="inlineStr">
        <is>
          <t>OPERACIONES INTERNAS POR  ADQUISICION DE BIENES  ESPECIFICA</t>
        </is>
      </c>
      <c r="B80" s="42" t="n"/>
      <c r="C80" s="43" t="n"/>
      <c r="D80" s="42" t="n"/>
      <c r="E80" s="43" t="n"/>
      <c r="F80" s="42" t="n">
        <v>22000000</v>
      </c>
      <c r="G80" s="43" t="n">
        <v>0</v>
      </c>
      <c r="H80" s="42" t="n">
        <v>22000000</v>
      </c>
      <c r="I80" s="43" t="n">
        <v>0</v>
      </c>
      <c r="J80" s="42" t="n"/>
      <c r="K80" s="43" t="n"/>
      <c r="L80" s="42" t="n"/>
      <c r="M80" s="43" t="n"/>
    </row>
    <row r="81" outlineLevel="1" ht="15.75" customHeight="1">
      <c r="A81" s="22" t="inlineStr">
        <is>
          <t>OPERACIONES INTERNAS POR ADQUISICION DE SERVICIOS ESPECIFICA</t>
        </is>
      </c>
      <c r="B81" s="42" t="n"/>
      <c r="C81" s="43" t="n"/>
      <c r="D81" s="42" t="n"/>
      <c r="E81" s="43" t="n"/>
      <c r="F81" s="42" t="n">
        <v>345447955</v>
      </c>
      <c r="G81" s="43" t="n">
        <v>210294769</v>
      </c>
      <c r="H81" s="42" t="n">
        <v>291584446</v>
      </c>
      <c r="I81" s="43" t="n">
        <v>196505568</v>
      </c>
      <c r="J81" s="42" t="n">
        <v>107692</v>
      </c>
      <c r="K81" s="43" t="n">
        <v>0</v>
      </c>
      <c r="L81" s="42" t="n"/>
      <c r="M81" s="43" t="n"/>
    </row>
    <row r="82" outlineLevel="1" ht="15.75" customHeight="1">
      <c r="A82" s="54" t="inlineStr">
        <is>
          <t>PRESPUESTO POR DISTRIBUIR - GASTOS DE DESTINACIÓN ESPECÍFICA</t>
        </is>
      </c>
      <c r="B82" s="46" t="n">
        <v>1181193376</v>
      </c>
      <c r="D82" s="46" t="n">
        <v>505071849</v>
      </c>
      <c r="E82" s="47" t="n"/>
      <c r="F82" s="46" t="n">
        <v>52000000</v>
      </c>
      <c r="G82" s="47" t="n"/>
      <c r="H82" s="47" t="n"/>
      <c r="I82" s="48" t="n"/>
      <c r="J82" s="46" t="n">
        <v>319740872</v>
      </c>
      <c r="K82" s="47" t="n"/>
      <c r="L82" s="46" t="n">
        <v>174719200</v>
      </c>
      <c r="M82" s="48" t="n"/>
    </row>
    <row r="83" outlineLevel="1" ht="15.75" customHeight="1">
      <c r="A83" s="22" t="inlineStr">
        <is>
          <t>OTRAS TRANSFERENCIAS</t>
        </is>
      </c>
      <c r="B83" s="42" t="n"/>
      <c r="C83" s="43" t="n"/>
      <c r="D83" s="42" t="n"/>
      <c r="E83" s="43" t="n"/>
      <c r="F83" s="42" t="n">
        <v>39156000</v>
      </c>
      <c r="G83" s="43" t="n">
        <v>39156000</v>
      </c>
      <c r="H83" s="42" t="n"/>
      <c r="I83" s="43" t="n"/>
      <c r="J83" s="42" t="n"/>
      <c r="K83" s="43" t="n"/>
      <c r="L83" s="42" t="n"/>
      <c r="M83" s="43" t="n"/>
    </row>
    <row r="84" ht="15.75" customHeight="1">
      <c r="A84" s="25" t="inlineStr">
        <is>
          <t>GASTOS DE DESTINACION ESPECIFICA  UGI FONDO</t>
        </is>
      </c>
      <c r="B84" s="40" t="n"/>
      <c r="C84" s="41" t="n"/>
      <c r="D84" s="40" t="n"/>
      <c r="E84" s="41" t="n"/>
      <c r="F84" s="40" t="n"/>
      <c r="G84" s="41" t="n"/>
      <c r="H84" s="40">
        <f>SUM(H85:H89)</f>
        <v/>
      </c>
      <c r="I84" s="41">
        <f>SUM(I85:I89)</f>
        <v/>
      </c>
      <c r="J84" s="40">
        <f>SUM(J85:J89)</f>
        <v/>
      </c>
      <c r="K84" s="41">
        <f>SUM(K85:K89)</f>
        <v/>
      </c>
      <c r="L84" s="40">
        <f>SUM(L85:L89)</f>
        <v/>
      </c>
      <c r="M84" s="41">
        <f>SUM(M85:M89)</f>
        <v/>
      </c>
    </row>
    <row r="85" outlineLevel="1" ht="15.75" customHeight="1">
      <c r="A85" s="22" t="inlineStr">
        <is>
          <t>PRESUPUESTO POR DISTRIBUIR - ESPECIFICA UGI FONDO</t>
        </is>
      </c>
      <c r="B85" s="25" t="n"/>
      <c r="C85" s="44" t="n"/>
      <c r="D85" s="25" t="n"/>
      <c r="E85" s="44" t="n"/>
      <c r="F85" s="25" t="n"/>
      <c r="G85" s="44" t="n"/>
      <c r="H85" s="40" t="n">
        <v>150000000</v>
      </c>
      <c r="I85" s="44" t="n">
        <v>0</v>
      </c>
      <c r="J85" s="40" t="n">
        <v>260</v>
      </c>
      <c r="K85" s="41" t="n">
        <v>0</v>
      </c>
      <c r="L85" s="40" t="n">
        <v>112010069</v>
      </c>
      <c r="M85" s="41" t="n">
        <v>0</v>
      </c>
    </row>
    <row r="86" outlineLevel="1" ht="15.75" customHeight="1">
      <c r="A86" s="22" t="inlineStr">
        <is>
          <t>SERVICIOS PERSONALES INDIRECTOS - ESPECIFICA UGI FONDO</t>
        </is>
      </c>
      <c r="B86" s="25" t="n"/>
      <c r="C86" s="44" t="n"/>
      <c r="D86" s="25" t="n"/>
      <c r="E86" s="44" t="n"/>
      <c r="F86" s="25" t="n"/>
      <c r="G86" s="44" t="n"/>
      <c r="H86" s="25" t="n"/>
      <c r="I86" s="44" t="n"/>
      <c r="J86" s="40" t="n">
        <v>151229850</v>
      </c>
      <c r="K86" s="41" t="n">
        <v>93372000</v>
      </c>
      <c r="L86" s="40" t="n">
        <v>139945289</v>
      </c>
      <c r="M86" s="41" t="n">
        <v>106367707</v>
      </c>
    </row>
    <row r="87" outlineLevel="1" ht="15.75" customHeight="1">
      <c r="A87" s="22" t="inlineStr">
        <is>
          <t>ADQUISICIÓN DE BIENES ESPECIFICA UGI FONDO</t>
        </is>
      </c>
      <c r="B87" s="25" t="n"/>
      <c r="C87" s="44" t="n"/>
      <c r="D87" s="25" t="n"/>
      <c r="E87" s="44" t="n"/>
      <c r="F87" s="25" t="n"/>
      <c r="G87" s="44" t="n"/>
      <c r="H87" s="25" t="n"/>
      <c r="I87" s="44" t="n"/>
      <c r="J87" s="40" t="n">
        <v>53580460</v>
      </c>
      <c r="K87" s="41" t="n">
        <v>22409212</v>
      </c>
      <c r="L87" s="40" t="n">
        <v>41822009</v>
      </c>
      <c r="M87" s="41" t="n">
        <v>32956804</v>
      </c>
    </row>
    <row r="88" outlineLevel="1" ht="15.75" customHeight="1">
      <c r="A88" s="22" t="inlineStr">
        <is>
          <t>ADQUISICIÓN DE SERVICIOS ESPECIFICA UGI FONDO</t>
        </is>
      </c>
      <c r="B88" s="25" t="n"/>
      <c r="C88" s="44" t="n"/>
      <c r="D88" s="25" t="n"/>
      <c r="E88" s="44" t="n"/>
      <c r="F88" s="25" t="n"/>
      <c r="G88" s="44" t="n"/>
      <c r="H88" s="25" t="n"/>
      <c r="I88" s="44" t="n"/>
      <c r="J88" s="40" t="n">
        <v>131553090</v>
      </c>
      <c r="K88" s="41" t="n">
        <v>12864963</v>
      </c>
      <c r="L88" s="40" t="n">
        <v>157049927</v>
      </c>
      <c r="M88" s="41" t="n">
        <v>67113058</v>
      </c>
    </row>
    <row r="89" outlineLevel="1" ht="15.75" customHeight="1">
      <c r="A89" s="49" t="inlineStr">
        <is>
          <t>TRANSFERENCIAS ENTRE FONDOS SIN CONTRAPRESTACIÓN - ESPECIFICA UGI FONDO</t>
        </is>
      </c>
      <c r="B89" s="50" t="n"/>
      <c r="C89" s="51" t="n"/>
      <c r="D89" s="50" t="n"/>
      <c r="E89" s="51" t="n"/>
      <c r="F89" s="50" t="n"/>
      <c r="G89" s="51" t="n"/>
      <c r="H89" s="50" t="n"/>
      <c r="I89" s="51" t="n"/>
      <c r="J89" s="52" t="n">
        <v>13636340</v>
      </c>
      <c r="K89" s="53" t="n">
        <v>0</v>
      </c>
      <c r="L89" s="52" t="n">
        <v>52536340</v>
      </c>
      <c r="M89" s="53" t="n">
        <v>13636340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2024-12-12T06:40:54Z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