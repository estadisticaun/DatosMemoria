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7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10" pivotButton="0" quotePrefix="0" xfId="0"/>
    <xf numFmtId="164" fontId="5" fillId="3" borderId="11" pivotButton="0" quotePrefix="0" xfId="0"/>
    <xf numFmtId="164" fontId="5" fillId="3" borderId="12" pivotButton="0" quotePrefix="0" xfId="0"/>
    <xf numFmtId="0" fontId="6" fillId="4" borderId="9" pivotButton="0" quotePrefix="1" xfId="0"/>
    <xf numFmtId="164" fontId="6" fillId="4" borderId="10" pivotButton="0" quotePrefix="0" xfId="0"/>
    <xf numFmtId="164" fontId="6" fillId="4" borderId="11" pivotButton="0" quotePrefix="0" xfId="0"/>
    <xf numFmtId="0" fontId="3" fillId="5" borderId="8" pivotButton="0" quotePrefix="0" xfId="0"/>
    <xf numFmtId="164" fontId="3" fillId="5" borderId="4" pivotButton="0" quotePrefix="0" xfId="0"/>
    <xf numFmtId="164" fontId="3" fillId="5" borderId="6" pivotButton="0" quotePrefix="0" xfId="0"/>
    <xf numFmtId="164" fontId="3" fillId="5" borderId="5" pivotButton="0" quotePrefix="0" xfId="0"/>
    <xf numFmtId="0" fontId="3" fillId="0" borderId="1" pivotButton="0" quotePrefix="0" xfId="0"/>
    <xf numFmtId="164" fontId="3" fillId="0" borderId="1" pivotButton="0" quotePrefix="0" xfId="1"/>
    <xf numFmtId="164" fontId="3" fillId="0" borderId="3" pivotButton="0" quotePrefix="0" xfId="1"/>
    <xf numFmtId="0" fontId="0" fillId="0" borderId="13" pivotButton="0" quotePrefix="0" xfId="0"/>
    <xf numFmtId="164" fontId="1" fillId="0" borderId="13" pivotButton="0" quotePrefix="0" xfId="1"/>
    <xf numFmtId="164" fontId="1" fillId="0" borderId="14" pivotButton="0" quotePrefix="0" xfId="1"/>
    <xf numFmtId="0" fontId="0" fillId="0" borderId="13" applyAlignment="1" pivotButton="0" quotePrefix="0" xfId="0">
      <alignment horizontal="left" indent="3"/>
    </xf>
    <xf numFmtId="164" fontId="1" fillId="0" borderId="13" applyAlignment="1" pivotButton="0" quotePrefix="0" xfId="1">
      <alignment horizontal="left" indent="3"/>
    </xf>
    <xf numFmtId="164" fontId="1" fillId="0" borderId="14" applyAlignment="1" pivotButton="0" quotePrefix="0" xfId="1">
      <alignment horizontal="left" indent="3"/>
    </xf>
    <xf numFmtId="0" fontId="0" fillId="0" borderId="13" applyAlignment="1" pivotButton="0" quotePrefix="0" xfId="0">
      <alignment horizontal="left" vertical="center" wrapText="1" indent="3"/>
    </xf>
    <xf numFmtId="164" fontId="0" fillId="0" borderId="13" applyAlignment="1" pivotButton="0" quotePrefix="0" xfId="1">
      <alignment horizontal="left" vertical="center" wrapText="1" indent="3"/>
    </xf>
    <xf numFmtId="164" fontId="0" fillId="0" borderId="14" applyAlignment="1" pivotButton="0" quotePrefix="0" xfId="1">
      <alignment horizontal="left" vertical="center" wrapText="1" indent="3"/>
    </xf>
    <xf numFmtId="0" fontId="0" fillId="0" borderId="13" applyAlignment="1" pivotButton="0" quotePrefix="0" xfId="0">
      <alignment vertical="center" wrapText="1"/>
    </xf>
    <xf numFmtId="164" fontId="0" fillId="0" borderId="13" applyAlignment="1" pivotButton="0" quotePrefix="0" xfId="1">
      <alignment vertical="center" wrapText="1"/>
    </xf>
    <xf numFmtId="164" fontId="0" fillId="0" borderId="14" applyAlignment="1" pivotButton="0" quotePrefix="0" xfId="1">
      <alignment vertical="center" wrapText="1"/>
    </xf>
    <xf numFmtId="164" fontId="3" fillId="5" borderId="10" pivotButton="0" quotePrefix="0" xfId="0"/>
    <xf numFmtId="164" fontId="3" fillId="5" borderId="10" pivotButton="0" quotePrefix="0" xfId="1"/>
    <xf numFmtId="164" fontId="3" fillId="5" borderId="11" pivotButton="0" quotePrefix="0" xfId="1"/>
    <xf numFmtId="0" fontId="0" fillId="0" borderId="14" pivotButton="0" quotePrefix="0" xfId="0"/>
    <xf numFmtId="164" fontId="0" fillId="0" borderId="13" pivotButton="0" quotePrefix="0" xfId="1"/>
    <xf numFmtId="164" fontId="0" fillId="0" borderId="14" pivotButton="0" quotePrefix="0" xfId="1"/>
    <xf numFmtId="164" fontId="0" fillId="0" borderId="13" applyAlignment="1" pivotButton="0" quotePrefix="0" xfId="1">
      <alignment horizontal="left" indent="3"/>
    </xf>
    <xf numFmtId="164" fontId="0" fillId="0" borderId="14" applyAlignment="1" pivotButton="0" quotePrefix="0" xfId="1">
      <alignment horizontal="left" indent="3"/>
    </xf>
    <xf numFmtId="0" fontId="6" fillId="4" borderId="4" pivotButton="0" quotePrefix="1" xfId="0"/>
    <xf numFmtId="164" fontId="6" fillId="4" borderId="4" pivotButton="0" quotePrefix="0" xfId="1"/>
    <xf numFmtId="164" fontId="6" fillId="4" borderId="6" pivotButton="0" quotePrefix="0" xfId="1"/>
    <xf numFmtId="0" fontId="3" fillId="5" borderId="4" pivotButton="0" quotePrefix="0" xfId="0"/>
    <xf numFmtId="164" fontId="3" fillId="5" borderId="4" pivotButton="0" quotePrefix="0" xfId="1"/>
    <xf numFmtId="164" fontId="3" fillId="5" borderId="6" pivotButton="0" quotePrefix="0" xfId="1"/>
    <xf numFmtId="164" fontId="0" fillId="0" borderId="13" applyAlignment="1" pivotButton="0" quotePrefix="0" xfId="1">
      <alignment horizontal="left" vertical="center" indent="3"/>
    </xf>
    <xf numFmtId="0" fontId="0" fillId="0" borderId="0" applyAlignment="1" pivotButton="0" quotePrefix="0" xfId="0">
      <alignment vertical="center"/>
    </xf>
    <xf numFmtId="164" fontId="0" fillId="0" borderId="14" applyAlignment="1" pivotButton="0" quotePrefix="0" xfId="1">
      <alignment horizontal="left" vertical="center" indent="3"/>
    </xf>
    <xf numFmtId="164" fontId="0" fillId="0" borderId="4" applyAlignment="1" pivotButton="0" quotePrefix="0" xfId="1">
      <alignment horizontal="left" vertical="center" wrapText="1" indent="3"/>
    </xf>
    <xf numFmtId="164" fontId="0" fillId="0" borderId="6" applyAlignment="1" pivotButton="0" quotePrefix="0" xfId="1">
      <alignment horizontal="left" vertical="center" wrapText="1" indent="3"/>
    </xf>
    <xf numFmtId="0" fontId="4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8" pivotButton="0" quotePrefix="0" xfId="0"/>
    <xf numFmtId="164" fontId="5" fillId="6" borderId="10" pivotButton="0" quotePrefix="0" xfId="0"/>
    <xf numFmtId="164" fontId="5" fillId="6" borderId="12" pivotButton="0" quotePrefix="0" xfId="0"/>
    <xf numFmtId="164" fontId="6" fillId="6" borderId="10" pivotButton="0" quotePrefix="0" xfId="0"/>
    <xf numFmtId="164" fontId="6" fillId="6" borderId="11" pivotButton="0" quotePrefix="0" xfId="0"/>
    <xf numFmtId="164" fontId="3" fillId="6" borderId="4" pivotButton="0" quotePrefix="0" xfId="0"/>
    <xf numFmtId="164" fontId="3" fillId="6" borderId="5" pivotButton="0" quotePrefix="0" xfId="0"/>
    <xf numFmtId="164" fontId="3" fillId="6" borderId="1" pivotButton="0" quotePrefix="0" xfId="1"/>
    <xf numFmtId="164" fontId="3" fillId="6" borderId="3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tabSelected="1" workbookViewId="0">
      <selection activeCell="C13" sqref="C13"/>
    </sheetView>
  </sheetViews>
  <sheetFormatPr baseColWidth="10" defaultColWidth="0" defaultRowHeight="15" zeroHeight="1" outlineLevelRow="1"/>
  <cols>
    <col width="52.140625" customWidth="1" min="1" max="1"/>
    <col width="21.5703125" bestFit="1" customWidth="1" min="2" max="2"/>
    <col width="27.42578125" bestFit="1" customWidth="1" min="3" max="3"/>
    <col width="21.5703125" bestFit="1" customWidth="1" min="4" max="4"/>
    <col width="27.42578125" bestFit="1" customWidth="1" min="5" max="5"/>
    <col width="21.5703125" bestFit="1" customWidth="1" min="6" max="6"/>
    <col width="27.42578125" bestFit="1" customWidth="1" min="7" max="7"/>
    <col width="21.5703125" bestFit="1" customWidth="1" min="8" max="8"/>
    <col width="27.42578125" bestFit="1" customWidth="1" min="9" max="9"/>
    <col width="21.5703125" bestFit="1" customWidth="1" min="10" max="10"/>
    <col width="27.42578125" bestFit="1" customWidth="1" min="11" max="11"/>
    <col width="21.5703125" bestFit="1" customWidth="1" min="12" max="12"/>
    <col width="27.42578125" bestFit="1" customWidth="1" min="13" max="13"/>
    <col hidden="1" width="11.42578125" customWidth="1" min="30" max="16384"/>
  </cols>
  <sheetData>
    <row r="1">
      <c r="A1" s="61" t="inlineStr">
        <is>
          <t>GESTION GENERAL SEDE ORINOQUIA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  <c r="P1" s="4" t="n"/>
      <c r="Q1" s="4" t="n"/>
    </row>
    <row r="2">
      <c r="A2" s="64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6" t="n"/>
    </row>
    <row r="3">
      <c r="A3" s="67" t="inlineStr">
        <is>
          <t>CONCEPTO</t>
        </is>
      </c>
      <c r="B3" s="8" t="n">
        <v>2016</v>
      </c>
      <c r="C3" s="63" t="n"/>
      <c r="D3" s="8" t="n">
        <v>2017</v>
      </c>
      <c r="E3" s="63" t="n"/>
      <c r="F3" s="8" t="n">
        <v>2018</v>
      </c>
      <c r="G3" s="63" t="n"/>
      <c r="H3" s="8" t="n">
        <v>2019</v>
      </c>
      <c r="I3" s="63" t="n"/>
      <c r="J3" s="9" t="n">
        <v>2020</v>
      </c>
      <c r="K3" s="62" t="n"/>
      <c r="L3" s="8" t="n">
        <v>2021</v>
      </c>
      <c r="M3" s="63" t="n"/>
    </row>
    <row r="4">
      <c r="A4" s="68" t="n"/>
      <c r="B4" s="13" t="inlineStr">
        <is>
          <t>Aforo vigente</t>
        </is>
      </c>
      <c r="C4" s="14" t="inlineStr">
        <is>
          <t>Recaudo efectivo acumulado</t>
        </is>
      </c>
      <c r="D4" s="13" t="inlineStr">
        <is>
          <t>Aforo vigente</t>
        </is>
      </c>
      <c r="E4" s="14" t="inlineStr">
        <is>
          <t>Recaudo efectivo acumulado</t>
        </is>
      </c>
      <c r="F4" s="13" t="inlineStr">
        <is>
          <t>Aforo vigente</t>
        </is>
      </c>
      <c r="G4" s="14" t="inlineStr">
        <is>
          <t>Recaudo efectivo acumulado</t>
        </is>
      </c>
      <c r="H4" s="13" t="inlineStr">
        <is>
          <t>Aforo vigente</t>
        </is>
      </c>
      <c r="I4" s="14" t="inlineStr">
        <is>
          <t>Recaudo efectivo acumulado</t>
        </is>
      </c>
      <c r="J4" s="13" t="inlineStr">
        <is>
          <t>Aforo vigente</t>
        </is>
      </c>
      <c r="K4" s="15" t="inlineStr">
        <is>
          <t>Recaudo efectivo acumulado</t>
        </is>
      </c>
      <c r="L4" s="13" t="inlineStr">
        <is>
          <t>Aforo vigente</t>
        </is>
      </c>
      <c r="M4" s="14" t="inlineStr">
        <is>
          <t>Recaudo efectivo acumulado</t>
        </is>
      </c>
    </row>
    <row r="5" ht="18.75" customHeight="1">
      <c r="A5" s="16" t="inlineStr">
        <is>
          <t>GESTION GENERAL</t>
        </is>
      </c>
      <c r="B5" s="17">
        <f>+B6+B43</f>
        <v/>
      </c>
      <c r="C5" s="18">
        <f>+C6+C43</f>
        <v/>
      </c>
      <c r="D5" s="17">
        <f>+D6+D43</f>
        <v/>
      </c>
      <c r="E5" s="18">
        <f>+E6+E43</f>
        <v/>
      </c>
      <c r="F5" s="17">
        <f>+F6+F43</f>
        <v/>
      </c>
      <c r="G5" s="18">
        <f>+G6+G43</f>
        <v/>
      </c>
      <c r="H5" s="17">
        <f>+H6+H43</f>
        <v/>
      </c>
      <c r="I5" s="18">
        <f>+I6+I43</f>
        <v/>
      </c>
      <c r="J5" s="69">
        <f>+J6+J43</f>
        <v/>
      </c>
      <c r="K5" s="70">
        <f>+K6+K43</f>
        <v/>
      </c>
      <c r="L5" s="17">
        <f>+L6+L43</f>
        <v/>
      </c>
      <c r="M5" s="18">
        <f>+M6+M43</f>
        <v/>
      </c>
    </row>
    <row r="6" ht="15.75" customHeight="1">
      <c r="A6" s="20" t="inlineStr">
        <is>
          <t>- NIVEL CENTRAL</t>
        </is>
      </c>
      <c r="B6" s="21">
        <f>+B7+B38+B35</f>
        <v/>
      </c>
      <c r="C6" s="22">
        <f>+C7+C38+C35</f>
        <v/>
      </c>
      <c r="D6" s="21">
        <f>+D7+D38+D35</f>
        <v/>
      </c>
      <c r="E6" s="22">
        <f>+E7+E38+E35</f>
        <v/>
      </c>
      <c r="F6" s="21">
        <f>+F7+F38+F35</f>
        <v/>
      </c>
      <c r="G6" s="22">
        <f>+G7+G38+G35</f>
        <v/>
      </c>
      <c r="H6" s="21">
        <f>+H7+H38+H35</f>
        <v/>
      </c>
      <c r="I6" s="22">
        <f>+I7+I38+I35</f>
        <v/>
      </c>
      <c r="J6" s="71">
        <f>+J7+J38+J35</f>
        <v/>
      </c>
      <c r="K6" s="72">
        <f>+K7+K38+K35</f>
        <v/>
      </c>
      <c r="L6" s="21">
        <f>+L7+L38+L35</f>
        <v/>
      </c>
      <c r="M6" s="22">
        <f>+M7+M38+M35</f>
        <v/>
      </c>
    </row>
    <row r="7">
      <c r="A7" s="23" t="inlineStr">
        <is>
          <t xml:space="preserve">I. Recursos propios </t>
        </is>
      </c>
      <c r="B7" s="24">
        <f>+B8+B28</f>
        <v/>
      </c>
      <c r="C7" s="25">
        <f>+C8+C28</f>
        <v/>
      </c>
      <c r="D7" s="24">
        <f>+D8+D28</f>
        <v/>
      </c>
      <c r="E7" s="25">
        <f>+E8+E28</f>
        <v/>
      </c>
      <c r="F7" s="24">
        <f>+F8+F28</f>
        <v/>
      </c>
      <c r="G7" s="25">
        <f>+G8+G28</f>
        <v/>
      </c>
      <c r="H7" s="24">
        <f>+H8+H28</f>
        <v/>
      </c>
      <c r="I7" s="25">
        <f>+I8+I28</f>
        <v/>
      </c>
      <c r="J7" s="73">
        <f>+J8+J28</f>
        <v/>
      </c>
      <c r="K7" s="74">
        <f>+K8+K28</f>
        <v/>
      </c>
      <c r="L7" s="24">
        <f>+L8+L28</f>
        <v/>
      </c>
      <c r="M7" s="25">
        <f>+M8+M28</f>
        <v/>
      </c>
    </row>
    <row r="8" ht="15.75" customHeight="1">
      <c r="A8" s="27" t="inlineStr">
        <is>
          <t>1. Ingresos corrientes</t>
        </is>
      </c>
      <c r="B8" s="75">
        <f>+B9+B16+B18+B23+B26</f>
        <v/>
      </c>
      <c r="C8" s="76">
        <f>+C9+C16+C18+C23+C26</f>
        <v/>
      </c>
      <c r="D8" s="75">
        <f>+D9+D16+D18+D23+D26</f>
        <v/>
      </c>
      <c r="E8" s="76">
        <f>+E9+E16+E18+E23+E26</f>
        <v/>
      </c>
      <c r="F8" s="75">
        <f>+F9+F16+F18+F23+F26</f>
        <v/>
      </c>
      <c r="G8" s="76">
        <f>+G9+G16+G18+G23+G26</f>
        <v/>
      </c>
      <c r="H8" s="75">
        <f>+H9+H16+H18+H23+H26</f>
        <v/>
      </c>
      <c r="I8" s="76">
        <f>+I9+I16+I18+I23+I26</f>
        <v/>
      </c>
      <c r="J8" s="75">
        <f>+J9+J16+J18+J23+J26</f>
        <v/>
      </c>
      <c r="K8" s="76">
        <f>+K9+K16+K18+K23+K26</f>
        <v/>
      </c>
      <c r="L8" s="75">
        <f>+L9+L16+L18+L23+L26</f>
        <v/>
      </c>
      <c r="M8" s="76">
        <f>+M9+M16+M18+M23+M26</f>
        <v/>
      </c>
    </row>
    <row r="9" ht="15.75" customHeight="1">
      <c r="A9" s="30" t="inlineStr">
        <is>
          <t>SERVICIOS ACADÉMICOS PREGRADO</t>
        </is>
      </c>
      <c r="B9" s="31">
        <f>SUM(B10:B15)</f>
        <v/>
      </c>
      <c r="C9" s="32">
        <f>SUM(C10:C15)</f>
        <v/>
      </c>
      <c r="D9" s="31">
        <f>SUM(D10:D15)</f>
        <v/>
      </c>
      <c r="E9" s="32">
        <f>SUM(E10:E15)</f>
        <v/>
      </c>
      <c r="F9" s="31">
        <f>SUM(F10:F15)</f>
        <v/>
      </c>
      <c r="G9" s="32">
        <f>SUM(G10:G15)</f>
        <v/>
      </c>
      <c r="H9" s="31">
        <f>SUM(H10:H15)</f>
        <v/>
      </c>
      <c r="I9" s="32">
        <f>SUM(I10:I15)</f>
        <v/>
      </c>
      <c r="J9" s="31">
        <f>SUM(J10:J15)</f>
        <v/>
      </c>
      <c r="K9" s="32">
        <f>SUM(K10:K15)</f>
        <v/>
      </c>
      <c r="L9" s="31">
        <f>SUM(L10:L15)</f>
        <v/>
      </c>
      <c r="M9" s="32">
        <f>SUM(M10:M15)</f>
        <v/>
      </c>
    </row>
    <row r="10" outlineLevel="1" ht="15.75" customHeight="1">
      <c r="A10" s="33" t="inlineStr">
        <is>
          <t>Inscripciones pregrado</t>
        </is>
      </c>
      <c r="B10" s="34" t="n">
        <v>28719860</v>
      </c>
      <c r="C10" s="35" t="n">
        <v>28719860</v>
      </c>
      <c r="D10" s="34" t="n">
        <v>30386000</v>
      </c>
      <c r="E10" s="35" t="n">
        <v>30386000</v>
      </c>
      <c r="F10" s="34" t="n">
        <v>31662212</v>
      </c>
      <c r="G10" s="35" t="n">
        <v>31662212</v>
      </c>
      <c r="H10" s="34" t="n">
        <v>32707065</v>
      </c>
      <c r="I10" s="35" t="n">
        <v>32707065</v>
      </c>
      <c r="J10" s="34" t="n">
        <v>32707065</v>
      </c>
      <c r="K10" s="35" t="n">
        <v>24103416</v>
      </c>
      <c r="L10" s="34" t="n">
        <v>32707065</v>
      </c>
      <c r="M10" s="35" t="n">
        <v>18359736</v>
      </c>
    </row>
    <row r="11" outlineLevel="1" ht="15.75" customHeight="1">
      <c r="A11" s="33" t="inlineStr">
        <is>
          <t>Matrículas pregrado</t>
        </is>
      </c>
      <c r="B11" s="34" t="n">
        <v>1362841977</v>
      </c>
      <c r="C11" s="35" t="n">
        <v>1386514839</v>
      </c>
      <c r="D11" s="34" t="n">
        <v>45877725</v>
      </c>
      <c r="E11" s="35" t="n">
        <v>80687335</v>
      </c>
      <c r="F11" s="34" t="n">
        <v>69920000</v>
      </c>
      <c r="G11" s="35" t="n">
        <v>132396154</v>
      </c>
      <c r="H11" s="34" t="n">
        <v>67972290</v>
      </c>
      <c r="I11" s="35" t="n">
        <v>49940149</v>
      </c>
      <c r="J11" s="34" t="n">
        <v>71353161</v>
      </c>
      <c r="K11" s="35" t="n">
        <v>89182678</v>
      </c>
      <c r="L11" s="34" t="n">
        <v>72073864</v>
      </c>
      <c r="M11" s="35" t="n">
        <v>139400511</v>
      </c>
    </row>
    <row r="12" outlineLevel="1" ht="15.75" customHeight="1">
      <c r="A12" s="33" t="inlineStr">
        <is>
          <t>Sistematización matrícula pregrado</t>
        </is>
      </c>
      <c r="B12" s="34" t="n">
        <v>8325070</v>
      </c>
      <c r="C12" s="35" t="n">
        <v>8325070</v>
      </c>
      <c r="D12" s="34" t="n">
        <v>14640165</v>
      </c>
      <c r="E12" s="35" t="n">
        <v>17291670</v>
      </c>
      <c r="F12" s="34" t="n">
        <v>21320200</v>
      </c>
      <c r="G12" s="35" t="n">
        <v>26848280</v>
      </c>
      <c r="H12" s="34" t="n">
        <v>25739500</v>
      </c>
      <c r="I12" s="35" t="n">
        <v>25044494</v>
      </c>
      <c r="J12" s="34" t="n">
        <v>35748700</v>
      </c>
      <c r="K12" s="35" t="n">
        <v>25274915</v>
      </c>
      <c r="L12" s="34" t="n">
        <v>31135909</v>
      </c>
      <c r="M12" s="35" t="n">
        <v>24883948</v>
      </c>
      <c r="P12" s="4" t="n"/>
    </row>
    <row r="13" outlineLevel="1" ht="15.75" customHeight="1">
      <c r="A13" s="33" t="inlineStr">
        <is>
          <t>Bienestar matricula pregrado</t>
        </is>
      </c>
      <c r="B13" s="34" t="n">
        <v>5356260</v>
      </c>
      <c r="C13" s="35" t="n">
        <v>6333404</v>
      </c>
      <c r="D13" s="34" t="n">
        <v>6164835</v>
      </c>
      <c r="E13" s="35" t="n">
        <v>10418422</v>
      </c>
      <c r="F13" s="34" t="n">
        <v>11369600</v>
      </c>
      <c r="G13" s="35" t="n">
        <v>14573601</v>
      </c>
      <c r="H13" s="34" t="n">
        <v>15118900</v>
      </c>
      <c r="I13" s="35" t="n">
        <v>10704268</v>
      </c>
      <c r="J13" s="34" t="n">
        <v>14991400</v>
      </c>
      <c r="K13" s="35" t="n">
        <v>10275607</v>
      </c>
      <c r="L13" s="34" t="n">
        <v>9225455</v>
      </c>
      <c r="M13" s="35" t="n">
        <v>12451394</v>
      </c>
      <c r="P13" s="4" t="n"/>
    </row>
    <row r="14" outlineLevel="1" ht="15.75" customHeight="1">
      <c r="A14" s="33" t="inlineStr">
        <is>
          <t>PROGRAMA SER PILO PAGA</t>
        </is>
      </c>
      <c r="B14" s="34" t="n"/>
      <c r="C14" s="35" t="n"/>
      <c r="D14" s="34" t="n">
        <v>0</v>
      </c>
      <c r="E14" s="35" t="n">
        <v>6659788</v>
      </c>
      <c r="F14" s="34" t="n">
        <v>5298451</v>
      </c>
      <c r="G14" s="35" t="n">
        <v>14538570</v>
      </c>
      <c r="H14" s="34" t="n">
        <v>1572625098</v>
      </c>
      <c r="I14" s="35" t="n">
        <v>1576294270</v>
      </c>
      <c r="J14" s="34" t="n">
        <v>1586625995</v>
      </c>
      <c r="K14" s="35" t="n">
        <v>1586625995</v>
      </c>
      <c r="L14" s="34" t="n">
        <v>1755935240</v>
      </c>
      <c r="M14" s="35" t="n">
        <v>1755935240</v>
      </c>
      <c r="P14" s="4" t="n"/>
      <c r="Q14" s="4" t="n"/>
    </row>
    <row r="15" outlineLevel="1" ht="15.75" customHeight="1">
      <c r="A15" s="33" t="inlineStr">
        <is>
          <t>TRANSFERENCIAS MATRÍCULAS DE PREGRADO DE  SEDES ANDINAS</t>
        </is>
      </c>
      <c r="B15" s="34" t="n"/>
      <c r="C15" s="35" t="n"/>
      <c r="D15" s="34" t="n">
        <v>1394787291</v>
      </c>
      <c r="E15" s="35" t="n">
        <v>1394787291</v>
      </c>
      <c r="F15" s="34" t="n">
        <v>1398501333</v>
      </c>
      <c r="G15" s="35" t="n">
        <v>791335974</v>
      </c>
      <c r="H15" s="34" t="n"/>
      <c r="I15" s="35" t="n"/>
      <c r="J15" s="34" t="n"/>
      <c r="K15" s="35" t="n"/>
      <c r="L15" s="34" t="n"/>
      <c r="M15" s="35" t="n"/>
      <c r="P15" s="4" t="n"/>
      <c r="Q15" s="4" t="n"/>
    </row>
    <row r="16" ht="15.75" customHeight="1">
      <c r="A16" s="30" t="inlineStr">
        <is>
          <t>APORTE OTRAS ENTIDADES</t>
        </is>
      </c>
      <c r="B16" s="31">
        <f>SUM(B17:B17)</f>
        <v/>
      </c>
      <c r="C16" s="32">
        <f>SUM(C17:C17)</f>
        <v/>
      </c>
      <c r="D16" s="31">
        <f>SUM(D17:D17)</f>
        <v/>
      </c>
      <c r="E16" s="32">
        <f>SUM(E17:E17)</f>
        <v/>
      </c>
      <c r="F16" s="31" t="n"/>
      <c r="G16" s="32" t="n"/>
      <c r="H16" s="31">
        <f>SUM(H17:H17)</f>
        <v/>
      </c>
      <c r="I16" s="32">
        <f>SUM(I17:I17)</f>
        <v/>
      </c>
      <c r="J16" s="31" t="n"/>
      <c r="K16" s="32" t="n"/>
      <c r="L16" s="31" t="n"/>
      <c r="M16" s="32" t="n"/>
      <c r="P16" s="4" t="n"/>
      <c r="Q16" s="4" t="n"/>
    </row>
    <row r="17" outlineLevel="1" ht="15.75" customHeight="1">
      <c r="A17" s="36" t="inlineStr">
        <is>
          <t>Otros aportes entidades publicas y privadas</t>
        </is>
      </c>
      <c r="B17" s="34" t="n">
        <v>0</v>
      </c>
      <c r="C17" s="35" t="n">
        <v>150000000</v>
      </c>
      <c r="D17" s="34" t="n">
        <v>0</v>
      </c>
      <c r="E17" s="35" t="n">
        <v>150000000</v>
      </c>
      <c r="F17" s="34" t="n"/>
      <c r="G17" s="35" t="n"/>
      <c r="H17" s="34" t="n">
        <v>450000000</v>
      </c>
      <c r="I17" s="35" t="n">
        <v>450000000</v>
      </c>
      <c r="J17" s="34" t="n"/>
      <c r="K17" s="35" t="n"/>
      <c r="L17" s="34" t="n"/>
      <c r="M17" s="35" t="n"/>
      <c r="P17" s="4" t="n"/>
      <c r="Q17" s="4" t="n"/>
    </row>
    <row r="18" ht="15.75" customHeight="1">
      <c r="A18" s="30" t="inlineStr">
        <is>
          <t>OTROS INGRESOS</t>
        </is>
      </c>
      <c r="B18" s="31">
        <f>SUM(B19:B22)</f>
        <v/>
      </c>
      <c r="C18" s="32">
        <f>SUM(C19:C22)</f>
        <v/>
      </c>
      <c r="D18" s="31">
        <f>SUM(D19:D22)</f>
        <v/>
      </c>
      <c r="E18" s="32">
        <f>SUM(E19:E22)</f>
        <v/>
      </c>
      <c r="F18" s="31">
        <f>SUM(F19:F22)</f>
        <v/>
      </c>
      <c r="G18" s="32">
        <f>SUM(G19:G22)</f>
        <v/>
      </c>
      <c r="H18" s="31">
        <f>SUM(H19:H22)</f>
        <v/>
      </c>
      <c r="I18" s="32">
        <f>SUM(I19:I22)</f>
        <v/>
      </c>
      <c r="J18" s="31">
        <f>SUM(J19:J22)</f>
        <v/>
      </c>
      <c r="K18" s="32">
        <f>SUM(K19:K22)</f>
        <v/>
      </c>
      <c r="L18" s="31">
        <f>SUM(L19:L22)</f>
        <v/>
      </c>
      <c r="M18" s="32">
        <f>SUM(M19:M22)</f>
        <v/>
      </c>
      <c r="P18" s="4" t="n"/>
      <c r="Q18" s="4" t="n"/>
    </row>
    <row r="19" outlineLevel="1" ht="15.75" customHeight="1">
      <c r="A19" s="33" t="inlineStr">
        <is>
          <t>Devolución iva</t>
        </is>
      </c>
      <c r="B19" s="34" t="n">
        <v>51500000</v>
      </c>
      <c r="C19" s="35" t="n">
        <v>69172721</v>
      </c>
      <c r="D19" s="34" t="n">
        <v>87000000</v>
      </c>
      <c r="E19" s="35" t="n">
        <v>114687643</v>
      </c>
      <c r="F19" s="34" t="n">
        <v>100000000</v>
      </c>
      <c r="G19" s="35" t="n">
        <v>168881685</v>
      </c>
      <c r="H19" s="34" t="n">
        <v>145000000</v>
      </c>
      <c r="I19" s="35" t="n">
        <v>191345273</v>
      </c>
      <c r="J19" s="34" t="n">
        <v>153000000</v>
      </c>
      <c r="K19" s="35" t="n">
        <v>146138049</v>
      </c>
      <c r="L19" s="34" t="n">
        <v>144500000</v>
      </c>
      <c r="M19" s="35" t="n">
        <v>148603234</v>
      </c>
      <c r="P19" s="4" t="n"/>
      <c r="Q19" s="4" t="n"/>
    </row>
    <row r="20" outlineLevel="1" ht="15.75" customHeight="1">
      <c r="A20" s="33" t="inlineStr">
        <is>
          <t>Expedición de documentos y certificaciones servidores públicos</t>
        </is>
      </c>
      <c r="B20" s="34" t="n">
        <v>120000</v>
      </c>
      <c r="C20" s="35" t="n">
        <v>28500</v>
      </c>
      <c r="D20" s="34" t="n">
        <v>120000</v>
      </c>
      <c r="E20" s="35" t="n">
        <v>146700</v>
      </c>
      <c r="F20" s="34" t="n">
        <v>170000</v>
      </c>
      <c r="G20" s="35" t="n">
        <v>165900</v>
      </c>
      <c r="H20" s="34" t="n">
        <v>180000</v>
      </c>
      <c r="I20" s="35" t="n">
        <v>312000</v>
      </c>
      <c r="J20" s="34" t="n">
        <v>220000</v>
      </c>
      <c r="K20" s="35" t="n">
        <v>202600</v>
      </c>
      <c r="L20" s="34" t="n">
        <v>230000</v>
      </c>
      <c r="M20" s="35" t="n">
        <v>295100</v>
      </c>
      <c r="P20" s="4" t="n"/>
      <c r="Q20" s="4" t="n"/>
    </row>
    <row r="21" outlineLevel="1" ht="15.75" customHeight="1">
      <c r="A21" s="33" t="inlineStr">
        <is>
          <t>Otros</t>
        </is>
      </c>
      <c r="B21" s="34" t="n">
        <v>2000000</v>
      </c>
      <c r="C21" s="35" t="n">
        <v>6798820</v>
      </c>
      <c r="D21" s="34" t="n">
        <v>3000000</v>
      </c>
      <c r="E21" s="35" t="n">
        <v>27255200</v>
      </c>
      <c r="F21" s="34" t="n">
        <v>3000000</v>
      </c>
      <c r="G21" s="35" t="n">
        <v>30578237</v>
      </c>
      <c r="H21" s="34" t="n">
        <v>5000000</v>
      </c>
      <c r="I21" s="35" t="n">
        <v>47271709</v>
      </c>
      <c r="J21" s="34" t="n">
        <v>10000000</v>
      </c>
      <c r="K21" s="35" t="n">
        <v>3235568</v>
      </c>
      <c r="L21" s="34" t="n">
        <v>10000000</v>
      </c>
      <c r="M21" s="35" t="n">
        <v>17703</v>
      </c>
      <c r="P21" s="4" t="n"/>
      <c r="Q21" s="4" t="n"/>
    </row>
    <row r="22" outlineLevel="1" ht="15.75" customHeight="1">
      <c r="A22" s="33" t="inlineStr">
        <is>
          <t>Recuperaciones</t>
        </is>
      </c>
      <c r="B22" s="34" t="n"/>
      <c r="C22" s="35" t="n"/>
      <c r="D22" s="34" t="n"/>
      <c r="E22" s="35" t="n"/>
      <c r="F22" s="34" t="n"/>
      <c r="G22" s="35" t="n"/>
      <c r="H22" s="34" t="n"/>
      <c r="I22" s="35" t="n"/>
      <c r="J22" s="34" t="n">
        <v>15000000</v>
      </c>
      <c r="K22" s="35" t="n">
        <v>11100000</v>
      </c>
      <c r="L22" s="34" t="n">
        <v>5000000</v>
      </c>
      <c r="M22" s="35" t="n">
        <v>1300000</v>
      </c>
      <c r="P22" s="4" t="n"/>
      <c r="Q22" s="4" t="n"/>
    </row>
    <row r="23" ht="15.75" customHeight="1">
      <c r="A23" s="30" t="inlineStr">
        <is>
          <t>TRANSFERENCIAS OPERACIONES INTERNAS SIN CONTRAPRESTACIÓN</t>
        </is>
      </c>
      <c r="B23" s="31">
        <f>SUM(B24:B25)</f>
        <v/>
      </c>
      <c r="C23" s="32">
        <f>SUM(C24:C25)</f>
        <v/>
      </c>
      <c r="D23" s="31">
        <f>SUM(D24:D25)</f>
        <v/>
      </c>
      <c r="E23" s="32">
        <f>SUM(E24:E25)</f>
        <v/>
      </c>
      <c r="F23" s="31">
        <f>SUM(F24:F25)</f>
        <v/>
      </c>
      <c r="G23" s="32">
        <f>SUM(G24:G25)</f>
        <v/>
      </c>
      <c r="H23" s="31">
        <f>SUM(H24:H25)</f>
        <v/>
      </c>
      <c r="I23" s="32">
        <f>SUM(I24:I25)</f>
        <v/>
      </c>
      <c r="J23" s="31">
        <f>SUM(J24:J25)</f>
        <v/>
      </c>
      <c r="K23" s="32">
        <f>SUM(K24:K25)</f>
        <v/>
      </c>
      <c r="L23" s="31">
        <f>SUM(L24:L25)</f>
        <v/>
      </c>
      <c r="M23" s="32">
        <f>SUM(M24:M25)</f>
        <v/>
      </c>
      <c r="P23" s="4" t="n"/>
      <c r="Q23" s="4" t="n"/>
    </row>
    <row r="24" outlineLevel="1" ht="15.75" customHeight="1">
      <c r="A24" s="37" t="inlineStr">
        <is>
          <t>Transferencias o.i  fondo de investigación - ugi</t>
        </is>
      </c>
      <c r="B24" s="37" t="n">
        <v>25000000</v>
      </c>
      <c r="C24" s="38" t="n">
        <v>25000000</v>
      </c>
      <c r="D24" s="37" t="n">
        <v>75000000</v>
      </c>
      <c r="E24" s="38" t="n">
        <v>75000000</v>
      </c>
      <c r="F24" s="37" t="n">
        <v>61763642</v>
      </c>
      <c r="G24" s="38" t="n">
        <v>26763642</v>
      </c>
      <c r="H24" s="37" t="n">
        <v>30000000</v>
      </c>
      <c r="I24" s="38" t="n">
        <v>30000000</v>
      </c>
      <c r="J24" s="37" t="n"/>
      <c r="K24" s="38" t="n"/>
      <c r="L24" s="37" t="n">
        <v>80000000</v>
      </c>
      <c r="M24" s="38" t="n">
        <v>80000000</v>
      </c>
    </row>
    <row r="25" outlineLevel="1" ht="15.75" customHeight="1">
      <c r="A25" s="37" t="inlineStr">
        <is>
          <t>Transferencias o.i. costos indirectos</t>
        </is>
      </c>
      <c r="B25" s="37" t="n">
        <v>3000000</v>
      </c>
      <c r="C25" s="38" t="n">
        <v>15476525</v>
      </c>
      <c r="D25" s="37" t="n">
        <v>17303287</v>
      </c>
      <c r="E25" s="38" t="n">
        <v>0</v>
      </c>
      <c r="F25" s="37" t="n"/>
      <c r="G25" s="38" t="n"/>
      <c r="H25" s="37" t="n">
        <v>0</v>
      </c>
      <c r="I25" s="38" t="n">
        <v>13082000</v>
      </c>
      <c r="J25" s="37" t="n">
        <v>25000000</v>
      </c>
      <c r="K25" s="38" t="n">
        <v>30461084</v>
      </c>
      <c r="L25" s="37" t="n">
        <v>20000000</v>
      </c>
      <c r="M25" s="38" t="n">
        <v>0</v>
      </c>
      <c r="P25" s="4" t="n"/>
    </row>
    <row r="26" ht="15.75" customHeight="1">
      <c r="A26" s="30" t="inlineStr">
        <is>
          <t>SERVICIOS ACADÉMICOS POSGRADO</t>
        </is>
      </c>
      <c r="B26" s="31" t="n"/>
      <c r="C26" s="32" t="n"/>
      <c r="D26" s="31" t="n"/>
      <c r="E26" s="32" t="n"/>
      <c r="F26" s="31" t="n"/>
      <c r="G26" s="32" t="n"/>
      <c r="H26" s="31" t="n"/>
      <c r="I26" s="32" t="n"/>
      <c r="J26" s="31">
        <f>SUM(J27:J27)</f>
        <v/>
      </c>
      <c r="K26" s="32">
        <f>SUM(K27:K27)</f>
        <v/>
      </c>
      <c r="L26" s="31" t="n"/>
      <c r="M26" s="32" t="n"/>
      <c r="P26" s="4" t="n"/>
      <c r="Q26" s="4" t="n"/>
    </row>
    <row r="27" outlineLevel="1" ht="15.75" customHeight="1">
      <c r="A27" s="36" t="inlineStr">
        <is>
          <t>Derechos administrativos de posgrado</t>
        </is>
      </c>
      <c r="B27" s="31" t="n"/>
      <c r="C27" s="32" t="n"/>
      <c r="D27" s="31" t="n"/>
      <c r="E27" s="32" t="n"/>
      <c r="F27" s="31" t="n"/>
      <c r="G27" s="32" t="n"/>
      <c r="H27" s="31" t="n"/>
      <c r="I27" s="32" t="n"/>
      <c r="J27" s="31" t="n">
        <v>4406571</v>
      </c>
      <c r="K27" s="32" t="n">
        <v>4406571</v>
      </c>
      <c r="L27" s="31" t="n"/>
      <c r="M27" s="32" t="n"/>
      <c r="P27" s="4" t="n"/>
      <c r="Q27" s="4" t="n"/>
    </row>
    <row r="28" ht="15.75" customHeight="1">
      <c r="A28" s="27" t="inlineStr">
        <is>
          <t>2. Recursos de capital</t>
        </is>
      </c>
      <c r="B28" s="28">
        <f>+B29+B31</f>
        <v/>
      </c>
      <c r="C28" s="29">
        <f>+C29+C31</f>
        <v/>
      </c>
      <c r="D28" s="28">
        <f>+D29+D31</f>
        <v/>
      </c>
      <c r="E28" s="29">
        <f>+E29+E31</f>
        <v/>
      </c>
      <c r="F28" s="28">
        <f>+F29+F31</f>
        <v/>
      </c>
      <c r="G28" s="29">
        <f>+G29+G31</f>
        <v/>
      </c>
      <c r="H28" s="28">
        <f>+H29+H31</f>
        <v/>
      </c>
      <c r="I28" s="29">
        <f>+I29+I31</f>
        <v/>
      </c>
      <c r="J28" s="28">
        <f>+J29+J31</f>
        <v/>
      </c>
      <c r="K28" s="29">
        <f>+K29+K31</f>
        <v/>
      </c>
      <c r="L28" s="28">
        <f>+L29+L31</f>
        <v/>
      </c>
      <c r="M28" s="29">
        <f>+M29+M31</f>
        <v/>
      </c>
      <c r="P28" s="4" t="n"/>
      <c r="Q28" s="4" t="n"/>
    </row>
    <row r="29" ht="15.75" customHeight="1">
      <c r="A29" s="39" t="inlineStr">
        <is>
          <t>RENDIMIENTOS FINANCIEROS</t>
        </is>
      </c>
      <c r="B29" s="40">
        <f>SUM(B30:B30)</f>
        <v/>
      </c>
      <c r="C29" s="41">
        <f>SUM(C30:C30)</f>
        <v/>
      </c>
      <c r="D29" s="40">
        <f>SUM(D30:D30)</f>
        <v/>
      </c>
      <c r="E29" s="41">
        <f>SUM(E30:E30)</f>
        <v/>
      </c>
      <c r="F29" s="40">
        <f>SUM(F30:F30)</f>
        <v/>
      </c>
      <c r="G29" s="41">
        <f>SUM(G30:G30)</f>
        <v/>
      </c>
      <c r="H29" s="40">
        <f>SUM(H30:H30)</f>
        <v/>
      </c>
      <c r="I29" s="41">
        <f>SUM(I30:I30)</f>
        <v/>
      </c>
      <c r="J29" s="40">
        <f>SUM(J30:J30)</f>
        <v/>
      </c>
      <c r="K29" s="41">
        <f>SUM(K30:K30)</f>
        <v/>
      </c>
      <c r="L29" s="40">
        <f>SUM(L30:L30)</f>
        <v/>
      </c>
      <c r="M29" s="41">
        <f>SUM(M30:M30)</f>
        <v/>
      </c>
      <c r="P29" s="4" t="n"/>
      <c r="Q29" s="4" t="n"/>
    </row>
    <row r="30" outlineLevel="1" ht="15.75" customHeight="1">
      <c r="A30" s="36" t="inlineStr">
        <is>
          <t>Rendimientos  entidades financieras</t>
        </is>
      </c>
      <c r="B30" s="37" t="n">
        <v>7108000</v>
      </c>
      <c r="C30" s="38" t="n">
        <v>7147683</v>
      </c>
      <c r="D30" s="37" t="n">
        <v>5200000</v>
      </c>
      <c r="E30" s="38" t="n">
        <v>30586515</v>
      </c>
      <c r="F30" s="37" t="n">
        <v>28580000</v>
      </c>
      <c r="G30" s="38" t="n">
        <v>51909060</v>
      </c>
      <c r="H30" s="37" t="n">
        <v>37830000</v>
      </c>
      <c r="I30" s="38" t="n">
        <v>29117289</v>
      </c>
      <c r="J30" s="37" t="n">
        <v>39450000</v>
      </c>
      <c r="K30" s="38" t="n">
        <v>31537066</v>
      </c>
      <c r="L30" s="37" t="n">
        <v>43500000</v>
      </c>
      <c r="M30" s="38" t="n">
        <v>3359694</v>
      </c>
      <c r="P30" s="4" t="n"/>
      <c r="Q30" s="4" t="n"/>
    </row>
    <row r="31" ht="15.75" customHeight="1">
      <c r="A31" s="39" t="inlineStr">
        <is>
          <t>EXCEDENTES FINANCIEROS</t>
        </is>
      </c>
      <c r="B31" s="40">
        <f>SUM(B32:B34)</f>
        <v/>
      </c>
      <c r="C31" s="41">
        <f>SUM(C32:C34)</f>
        <v/>
      </c>
      <c r="D31" s="40">
        <f>SUM(D32:D34)</f>
        <v/>
      </c>
      <c r="E31" s="41">
        <f>SUM(E32:E34)</f>
        <v/>
      </c>
      <c r="F31" s="40">
        <f>SUM(F32:F34)</f>
        <v/>
      </c>
      <c r="G31" s="41">
        <f>SUM(G32:G34)</f>
        <v/>
      </c>
      <c r="H31" s="40">
        <f>SUM(H32:H34)</f>
        <v/>
      </c>
      <c r="I31" s="41">
        <f>SUM(I32:I34)</f>
        <v/>
      </c>
      <c r="J31" s="40">
        <f>SUM(J32:J34)</f>
        <v/>
      </c>
      <c r="K31" s="41">
        <f>SUM(K32:K34)</f>
        <v/>
      </c>
      <c r="L31" s="40">
        <f>SUM(L32:L34)</f>
        <v/>
      </c>
      <c r="M31" s="41">
        <f>SUM(M32:M34)</f>
        <v/>
      </c>
      <c r="P31" s="4" t="n"/>
      <c r="Q31" s="4" t="n"/>
    </row>
    <row r="32" outlineLevel="1" ht="15.75" customHeight="1">
      <c r="A32" s="33" t="inlineStr">
        <is>
          <t>Excedentes financieros -  gestión general</t>
        </is>
      </c>
      <c r="B32" s="34" t="n">
        <v>326259200</v>
      </c>
      <c r="C32" s="35" t="n">
        <v>326259200</v>
      </c>
      <c r="D32" s="34" t="n">
        <v>1030152873</v>
      </c>
      <c r="E32" s="35" t="n">
        <v>1015496419</v>
      </c>
      <c r="F32" s="34" t="n">
        <v>1003309759</v>
      </c>
      <c r="G32" s="35" t="n">
        <v>977527093</v>
      </c>
      <c r="H32" s="34" t="n">
        <v>585584075</v>
      </c>
      <c r="I32" s="35" t="n">
        <v>585584075</v>
      </c>
      <c r="J32" s="34" t="n">
        <v>1240213352</v>
      </c>
      <c r="K32" s="35" t="n">
        <v>1240213352</v>
      </c>
      <c r="L32" s="34" t="n">
        <v>1295271493</v>
      </c>
      <c r="M32" s="35" t="n">
        <v>1295271493</v>
      </c>
      <c r="P32" s="4" t="n"/>
      <c r="Q32" s="4" t="n"/>
    </row>
    <row r="33" outlineLevel="1" ht="15.75" customHeight="1">
      <c r="A33" s="33" t="inlineStr">
        <is>
          <t>Excedentes financieros - nivel nacional</t>
        </is>
      </c>
      <c r="B33" s="34" t="n">
        <v>4285714</v>
      </c>
      <c r="C33" s="35" t="n">
        <v>4285714</v>
      </c>
      <c r="D33" s="34" t="n"/>
      <c r="E33" s="35" t="n"/>
      <c r="F33" s="34" t="n">
        <v>10200000</v>
      </c>
      <c r="G33" s="35" t="n">
        <v>10200000</v>
      </c>
      <c r="H33" s="34" t="n"/>
      <c r="I33" s="35" t="n"/>
      <c r="J33" s="34" t="n"/>
      <c r="K33" s="35" t="n"/>
      <c r="L33" s="34" t="n"/>
      <c r="M33" s="35" t="n"/>
      <c r="P33" s="4" t="n"/>
      <c r="Q33" s="4" t="n"/>
    </row>
    <row r="34" outlineLevel="1" ht="15.75" customHeight="1">
      <c r="A34" s="33" t="inlineStr">
        <is>
          <t>Excedentes financieros - ugi nivel nacional</t>
        </is>
      </c>
      <c r="B34" s="34" t="n"/>
      <c r="C34" s="35" t="n"/>
      <c r="D34" s="34" t="n">
        <v>50000000</v>
      </c>
      <c r="E34" s="35" t="n">
        <v>50000000</v>
      </c>
      <c r="F34" s="34" t="n"/>
      <c r="G34" s="35" t="n"/>
      <c r="H34" s="34" t="n"/>
      <c r="I34" s="35" t="n"/>
      <c r="J34" s="34" t="n"/>
      <c r="K34" s="35" t="n"/>
      <c r="L34" s="34" t="n"/>
      <c r="M34" s="35" t="n"/>
      <c r="P34" s="4" t="n"/>
      <c r="Q34" s="4" t="n"/>
    </row>
    <row r="35" ht="15.75" customHeight="1">
      <c r="A35" s="42" t="inlineStr">
        <is>
          <t xml:space="preserve">II. Contribuciones parafiscales </t>
        </is>
      </c>
      <c r="B35" s="43">
        <f>+B36</f>
        <v/>
      </c>
      <c r="C35" s="44">
        <f>+C36</f>
        <v/>
      </c>
      <c r="D35" s="43">
        <f>+D36</f>
        <v/>
      </c>
      <c r="E35" s="44">
        <f>+E36</f>
        <v/>
      </c>
      <c r="F35" s="43">
        <f>+F36</f>
        <v/>
      </c>
      <c r="G35" s="44">
        <f>+G36</f>
        <v/>
      </c>
      <c r="H35" s="43">
        <f>+H36</f>
        <v/>
      </c>
      <c r="I35" s="44">
        <f>+I36</f>
        <v/>
      </c>
      <c r="J35" s="43">
        <f>+J36</f>
        <v/>
      </c>
      <c r="K35" s="44">
        <f>+K36</f>
        <v/>
      </c>
      <c r="L35" s="43">
        <f>+L36</f>
        <v/>
      </c>
      <c r="M35" s="44">
        <f>+M36</f>
        <v/>
      </c>
      <c r="P35" s="4" t="n"/>
      <c r="Q35" s="4" t="n"/>
    </row>
    <row r="36" ht="15.75" customHeight="1">
      <c r="A36" s="39" t="inlineStr">
        <is>
          <t>ESTAMPILLAS</t>
        </is>
      </c>
      <c r="B36" s="30" t="n"/>
      <c r="C36" s="45" t="n"/>
      <c r="D36" s="46">
        <f>SUM(D37:D37)</f>
        <v/>
      </c>
      <c r="E36" s="47">
        <f>SUM(E37:E37)</f>
        <v/>
      </c>
      <c r="F36" s="30" t="n"/>
      <c r="G36" s="45" t="n"/>
      <c r="H36" s="30" t="n"/>
      <c r="I36" s="45" t="n"/>
      <c r="J36" s="30" t="n"/>
      <c r="K36" s="45" t="n"/>
      <c r="L36" s="30" t="n"/>
      <c r="M36" s="45" t="n"/>
    </row>
    <row r="37" outlineLevel="1" ht="15.75" customHeight="1">
      <c r="A37" s="36" t="inlineStr">
        <is>
          <t>Estampilla pro universidad nacional de colombia</t>
        </is>
      </c>
      <c r="B37" s="30" t="n"/>
      <c r="C37" s="45" t="n"/>
      <c r="D37" s="48" t="n">
        <v>300000000</v>
      </c>
      <c r="E37" s="49" t="n">
        <v>300000000</v>
      </c>
      <c r="F37" s="30" t="n"/>
      <c r="G37" s="45" t="n"/>
      <c r="H37" s="30" t="n"/>
      <c r="I37" s="45" t="n"/>
      <c r="J37" s="30" t="n"/>
      <c r="K37" s="45" t="n"/>
      <c r="L37" s="30" t="n"/>
      <c r="M37" s="45" t="n"/>
    </row>
    <row r="38" ht="15.75" customHeight="1">
      <c r="A38" s="42" t="inlineStr">
        <is>
          <t>III. Aportes Nación</t>
        </is>
      </c>
      <c r="B38" s="43">
        <f>+B39+B41</f>
        <v/>
      </c>
      <c r="C38" s="44">
        <f>+C39+C41</f>
        <v/>
      </c>
      <c r="D38" s="43">
        <f>+D39+D41</f>
        <v/>
      </c>
      <c r="E38" s="44">
        <f>+E39+E41</f>
        <v/>
      </c>
      <c r="F38" s="43">
        <f>+F39+F41</f>
        <v/>
      </c>
      <c r="G38" s="44">
        <f>+G39+G41</f>
        <v/>
      </c>
      <c r="H38" s="43">
        <f>+H39+H41</f>
        <v/>
      </c>
      <c r="I38" s="44">
        <f>+I39+I41</f>
        <v/>
      </c>
      <c r="J38" s="43">
        <f>+J39+J41</f>
        <v/>
      </c>
      <c r="K38" s="44">
        <f>+K39+K41</f>
        <v/>
      </c>
      <c r="L38" s="43">
        <f>+L39+L41</f>
        <v/>
      </c>
      <c r="M38" s="44">
        <f>+M39+M41</f>
        <v/>
      </c>
      <c r="P38" s="4" t="n"/>
    </row>
    <row r="39" ht="15.75" customHeight="1">
      <c r="A39" s="40" t="inlineStr">
        <is>
          <t>FUNCIONAMIENTO</t>
        </is>
      </c>
      <c r="B39" s="40">
        <f>SUM(B40:B40)</f>
        <v/>
      </c>
      <c r="C39" s="41">
        <f>SUM(C40:C40)</f>
        <v/>
      </c>
      <c r="D39" s="40">
        <f>SUM(D40:D40)</f>
        <v/>
      </c>
      <c r="E39" s="41">
        <f>SUM(E40:E40)</f>
        <v/>
      </c>
      <c r="F39" s="40">
        <f>SUM(F40:F40)</f>
        <v/>
      </c>
      <c r="G39" s="41">
        <f>SUM(G40:G40)</f>
        <v/>
      </c>
      <c r="H39" s="40">
        <f>SUM(H40:H40)</f>
        <v/>
      </c>
      <c r="I39" s="41">
        <f>SUM(I40:I40)</f>
        <v/>
      </c>
      <c r="J39" s="40">
        <f>SUM(J40:J40)</f>
        <v/>
      </c>
      <c r="K39" s="41">
        <f>SUM(K40:K40)</f>
        <v/>
      </c>
      <c r="L39" s="40">
        <f>SUM(L40:L40)</f>
        <v/>
      </c>
      <c r="M39" s="41">
        <f>SUM(M40:M40)</f>
        <v/>
      </c>
      <c r="P39" s="4" t="n"/>
      <c r="Q39" s="4" t="n"/>
    </row>
    <row r="40" outlineLevel="1" ht="15.75" customHeight="1">
      <c r="A40" s="36" t="inlineStr">
        <is>
          <t>Gastos de personal</t>
        </is>
      </c>
      <c r="B40" s="37" t="n">
        <v>1300084088</v>
      </c>
      <c r="C40" s="38" t="n">
        <v>1300084088</v>
      </c>
      <c r="D40" s="37" t="n">
        <v>1398466068</v>
      </c>
      <c r="E40" s="38" t="n">
        <v>1398466068</v>
      </c>
      <c r="F40" s="37" t="n">
        <v>1815341190</v>
      </c>
      <c r="G40" s="38" t="n">
        <v>1815341190</v>
      </c>
      <c r="H40" s="37" t="n">
        <v>1550051015</v>
      </c>
      <c r="I40" s="38" t="n">
        <v>1550051015</v>
      </c>
      <c r="J40" s="37" t="n">
        <v>1738987284</v>
      </c>
      <c r="K40" s="38" t="n">
        <v>1738987284</v>
      </c>
      <c r="L40" s="37" t="n">
        <v>1631664598</v>
      </c>
      <c r="M40" s="38" t="n">
        <v>1631664598</v>
      </c>
    </row>
    <row r="41" ht="15.75" customHeight="1">
      <c r="A41" s="40" t="inlineStr">
        <is>
          <t>INVERSIÓN</t>
        </is>
      </c>
      <c r="B41" s="40">
        <f>SUM(B42:B42)</f>
        <v/>
      </c>
      <c r="C41" s="41">
        <f>SUM(C42:C42)</f>
        <v/>
      </c>
      <c r="D41" s="40">
        <f>SUM(D42:D42)</f>
        <v/>
      </c>
      <c r="E41" s="41">
        <f>SUM(E42:E42)</f>
        <v/>
      </c>
      <c r="F41" s="40">
        <f>SUM(F42:F42)</f>
        <v/>
      </c>
      <c r="G41" s="41">
        <f>SUM(G42:G42)</f>
        <v/>
      </c>
      <c r="H41" s="40">
        <f>SUM(H42:H42)</f>
        <v/>
      </c>
      <c r="I41" s="41">
        <f>SUM(I42:I42)</f>
        <v/>
      </c>
      <c r="J41" s="40">
        <f>SUM(J42:J42)</f>
        <v/>
      </c>
      <c r="K41" s="41">
        <f>SUM(K42:K42)</f>
        <v/>
      </c>
      <c r="L41" s="40">
        <f>SUM(L42:L42)</f>
        <v/>
      </c>
      <c r="M41" s="41">
        <f>SUM(M42:M42)</f>
        <v/>
      </c>
      <c r="P41" s="4" t="n"/>
    </row>
    <row r="42" outlineLevel="1" ht="15.75" customHeight="1">
      <c r="A42" s="36" t="inlineStr">
        <is>
          <t>Inversión</t>
        </is>
      </c>
      <c r="B42" s="37" t="n">
        <v>1353833334</v>
      </c>
      <c r="C42" s="38" t="n">
        <v>1353833334</v>
      </c>
      <c r="D42" s="37" t="n">
        <v>1547779833</v>
      </c>
      <c r="E42" s="38" t="n">
        <v>1547779833</v>
      </c>
      <c r="F42" s="37" t="n">
        <v>1167629167</v>
      </c>
      <c r="G42" s="38" t="n">
        <v>1167629167</v>
      </c>
      <c r="H42" s="37" t="n">
        <v>1620649650</v>
      </c>
      <c r="I42" s="38" t="n">
        <v>1620649650</v>
      </c>
      <c r="J42" s="37" t="n">
        <v>2151862725</v>
      </c>
      <c r="K42" s="38" t="n">
        <v>2151862725</v>
      </c>
      <c r="L42" s="37" t="n">
        <v>1876058855</v>
      </c>
      <c r="M42" s="38" t="n">
        <v>1876058855</v>
      </c>
      <c r="P42" s="4" t="n"/>
    </row>
    <row r="43" ht="15.75" customHeight="1">
      <c r="A43" s="50" t="inlineStr">
        <is>
          <t>- FONDOS ESPECIALES</t>
        </is>
      </c>
      <c r="B43" s="51">
        <f>+B44</f>
        <v/>
      </c>
      <c r="C43" s="52">
        <f>+C44</f>
        <v/>
      </c>
      <c r="D43" s="51">
        <f>+D44</f>
        <v/>
      </c>
      <c r="E43" s="52">
        <f>+E44</f>
        <v/>
      </c>
      <c r="F43" s="51">
        <f>+F44</f>
        <v/>
      </c>
      <c r="G43" s="52">
        <f>+G44</f>
        <v/>
      </c>
      <c r="H43" s="51">
        <f>+H44</f>
        <v/>
      </c>
      <c r="I43" s="52">
        <f>+I44</f>
        <v/>
      </c>
      <c r="J43" s="51">
        <f>+J44</f>
        <v/>
      </c>
      <c r="K43" s="52">
        <f>+K44</f>
        <v/>
      </c>
      <c r="L43" s="51">
        <f>+L44</f>
        <v/>
      </c>
      <c r="M43" s="52">
        <f>+M44</f>
        <v/>
      </c>
      <c r="P43" s="4" t="n"/>
    </row>
    <row r="44" ht="15.75" customHeight="1">
      <c r="A44" s="53" t="inlineStr">
        <is>
          <t xml:space="preserve">I. Recursos propios </t>
        </is>
      </c>
      <c r="B44" s="54">
        <f>+B45+B80</f>
        <v/>
      </c>
      <c r="C44" s="55">
        <f>+C45+C80</f>
        <v/>
      </c>
      <c r="D44" s="54">
        <f>+D45+D80</f>
        <v/>
      </c>
      <c r="E44" s="55">
        <f>+E45+E80</f>
        <v/>
      </c>
      <c r="F44" s="54">
        <f>+F45+F80</f>
        <v/>
      </c>
      <c r="G44" s="55">
        <f>+G45+G80</f>
        <v/>
      </c>
      <c r="H44" s="54">
        <f>+H45+H80</f>
        <v/>
      </c>
      <c r="I44" s="55">
        <f>+I45+I80</f>
        <v/>
      </c>
      <c r="J44" s="54">
        <f>+J45+J80</f>
        <v/>
      </c>
      <c r="K44" s="55">
        <f>+K45+K80</f>
        <v/>
      </c>
      <c r="L44" s="54">
        <f>+L45+L80</f>
        <v/>
      </c>
      <c r="M44" s="55">
        <f>+M45+M80</f>
        <v/>
      </c>
    </row>
    <row r="45" ht="15.75" customHeight="1">
      <c r="A45" s="27" t="inlineStr">
        <is>
          <t>1. Ingresos corrientes</t>
        </is>
      </c>
      <c r="B45" s="28">
        <f>+B46+B50+B54+B57+B62+B69+B74+B76+B78</f>
        <v/>
      </c>
      <c r="C45" s="29">
        <f>+C46+C50+C54+C57+C62+C69+C74+C76+C78</f>
        <v/>
      </c>
      <c r="D45" s="28">
        <f>+D46+D50+D54+D57+D62+D69+D74+D76+D78</f>
        <v/>
      </c>
      <c r="E45" s="29">
        <f>+E46+E50+E54+E57+E62+E69+E74+E76+E78</f>
        <v/>
      </c>
      <c r="F45" s="28">
        <f>+F46+F50+F54+F57+F62+F69+F74+F76+F78</f>
        <v/>
      </c>
      <c r="G45" s="29">
        <f>+G46+G50+G54+G57+G62+G69+G74+G76+G78</f>
        <v/>
      </c>
      <c r="H45" s="28">
        <f>+H46+H50+H54+H57+H62+H69+H74+H76+H78</f>
        <v/>
      </c>
      <c r="I45" s="29">
        <f>+I46+I50+I54+I57+I62+I69+I74+I76+I78</f>
        <v/>
      </c>
      <c r="J45" s="28">
        <f>+J46+J50+J54+J57+J62+J69+J74+J76+J78</f>
        <v/>
      </c>
      <c r="K45" s="29">
        <f>+K46+K50+K54+K57+K62+K69+K74+K76+K78</f>
        <v/>
      </c>
      <c r="L45" s="28">
        <f>+L46+L50+L54+L57+L62+L69+L74+L76+L78</f>
        <v/>
      </c>
      <c r="M45" s="29">
        <f>+M46+M50+M54+M57+M62+M69+M74+M76+M78</f>
        <v/>
      </c>
    </row>
    <row r="46" ht="15.75" customHeight="1">
      <c r="A46" s="30" t="inlineStr">
        <is>
          <t>SERVICIOS ACADÉMICOS PREGRADO</t>
        </is>
      </c>
      <c r="B46" s="31">
        <f>SUM(B47:B49)</f>
        <v/>
      </c>
      <c r="C46" s="32">
        <f>SUM(C47:C49)</f>
        <v/>
      </c>
      <c r="D46" s="31">
        <f>SUM(D47:D49)</f>
        <v/>
      </c>
      <c r="E46" s="32">
        <f>SUM(E47:E49)</f>
        <v/>
      </c>
      <c r="F46" s="31">
        <f>SUM(F47:F49)</f>
        <v/>
      </c>
      <c r="G46" s="32">
        <f>SUM(G47:G49)</f>
        <v/>
      </c>
      <c r="H46" s="31">
        <f>SUM(H47:H49)</f>
        <v/>
      </c>
      <c r="I46" s="32">
        <f>SUM(I47:I49)</f>
        <v/>
      </c>
      <c r="J46" s="31">
        <f>SUM(J47:J49)</f>
        <v/>
      </c>
      <c r="K46" s="32">
        <f>SUM(K47:K49)</f>
        <v/>
      </c>
      <c r="L46" s="31">
        <f>SUM(L47:L49)</f>
        <v/>
      </c>
      <c r="M46" s="32">
        <f>SUM(M47:M49)</f>
        <v/>
      </c>
    </row>
    <row r="47" outlineLevel="1" ht="15.75" customHeight="1">
      <c r="A47" s="33" t="inlineStr">
        <is>
          <t>Expedición de documentos y certificaciones de pregrado</t>
        </is>
      </c>
      <c r="B47" s="34" t="n">
        <v>234080</v>
      </c>
      <c r="C47" s="35" t="n">
        <v>308900</v>
      </c>
      <c r="D47" s="34" t="n">
        <v>276000</v>
      </c>
      <c r="E47" s="35" t="n">
        <v>251700</v>
      </c>
      <c r="F47" s="34" t="n">
        <v>259000</v>
      </c>
      <c r="G47" s="35" t="n">
        <v>267420</v>
      </c>
      <c r="H47" s="34" t="n">
        <v>445500</v>
      </c>
      <c r="I47" s="35" t="n">
        <v>214038</v>
      </c>
      <c r="J47" s="34" t="n">
        <v>262500</v>
      </c>
      <c r="K47" s="35" t="n">
        <v>79000</v>
      </c>
      <c r="L47" s="34" t="n">
        <v>140000</v>
      </c>
      <c r="M47" s="35" t="n">
        <v>190900</v>
      </c>
    </row>
    <row r="48" outlineLevel="1" ht="15.75" customHeight="1">
      <c r="A48" s="33" t="inlineStr">
        <is>
          <t>Otros ingresos académicos de pregrado</t>
        </is>
      </c>
      <c r="B48" s="34" t="n">
        <v>4500000</v>
      </c>
      <c r="C48" s="35" t="n">
        <v>25909800</v>
      </c>
      <c r="D48" s="34" t="n">
        <v>7000000</v>
      </c>
      <c r="E48" s="35" t="n">
        <v>19370000</v>
      </c>
      <c r="F48" s="34" t="n">
        <v>2832468</v>
      </c>
      <c r="G48" s="35" t="n">
        <v>31116340</v>
      </c>
      <c r="H48" s="34" t="n">
        <v>0</v>
      </c>
      <c r="I48" s="35" t="n">
        <v>22347880</v>
      </c>
      <c r="J48" s="34" t="n">
        <v>19000000</v>
      </c>
      <c r="K48" s="35" t="n">
        <v>4148200</v>
      </c>
      <c r="L48" s="34" t="n">
        <v>0</v>
      </c>
      <c r="M48" s="35" t="n">
        <v>7787000</v>
      </c>
    </row>
    <row r="49" outlineLevel="1" ht="15.75" customHeight="1">
      <c r="A49" s="33" t="inlineStr">
        <is>
          <t>Derechos de grado - pregrado</t>
        </is>
      </c>
      <c r="B49" s="34" t="n"/>
      <c r="C49" s="35" t="n"/>
      <c r="D49" s="34" t="n">
        <v>15060000</v>
      </c>
      <c r="E49" s="35" t="n">
        <v>15060000</v>
      </c>
      <c r="F49" s="34" t="n"/>
      <c r="G49" s="35" t="n"/>
      <c r="H49" s="34" t="n"/>
      <c r="I49" s="35" t="n"/>
      <c r="J49" s="34" t="n"/>
      <c r="K49" s="35" t="n"/>
      <c r="L49" s="34" t="n">
        <v>18243202</v>
      </c>
      <c r="M49" s="35" t="n">
        <v>18243202</v>
      </c>
    </row>
    <row r="50" ht="15.75" customHeight="1">
      <c r="A50" s="30" t="inlineStr">
        <is>
          <t>SERVICIOS DE EXTENSIÓN</t>
        </is>
      </c>
      <c r="B50" s="31">
        <f>SUM(B51:B53)</f>
        <v/>
      </c>
      <c r="C50" s="32">
        <f>SUM(C51:C53)</f>
        <v/>
      </c>
      <c r="D50" s="31">
        <f>SUM(D51:D53)</f>
        <v/>
      </c>
      <c r="E50" s="32">
        <f>SUM(E51:E53)</f>
        <v/>
      </c>
      <c r="F50" s="31">
        <f>SUM(F51:F53)</f>
        <v/>
      </c>
      <c r="G50" s="32">
        <f>SUM(G51:G53)</f>
        <v/>
      </c>
      <c r="H50" s="31">
        <f>SUM(H51:H53)</f>
        <v/>
      </c>
      <c r="I50" s="32">
        <f>SUM(I51:I53)</f>
        <v/>
      </c>
      <c r="J50" s="31">
        <f>SUM(J51:J53)</f>
        <v/>
      </c>
      <c r="K50" s="32">
        <f>SUM(K51:K53)</f>
        <v/>
      </c>
      <c r="L50" s="31">
        <f>SUM(L51:L53)</f>
        <v/>
      </c>
      <c r="M50" s="32">
        <f>SUM(M51:M53)</f>
        <v/>
      </c>
    </row>
    <row r="51" outlineLevel="1" ht="15.75" customHeight="1">
      <c r="A51" s="33" t="inlineStr">
        <is>
          <t>Consultorías y asesorías</t>
        </is>
      </c>
      <c r="B51" s="34" t="n">
        <v>1082148173</v>
      </c>
      <c r="C51" s="35" t="n">
        <v>1203217063</v>
      </c>
      <c r="D51" s="34" t="n">
        <v>765220860</v>
      </c>
      <c r="E51" s="35" t="n">
        <v>685511054</v>
      </c>
      <c r="F51" s="34" t="n">
        <v>400000000</v>
      </c>
      <c r="G51" s="35" t="n">
        <v>0</v>
      </c>
      <c r="H51" s="34" t="n">
        <v>580000000</v>
      </c>
      <c r="I51" s="35" t="n">
        <v>679852487</v>
      </c>
      <c r="J51" s="34" t="n">
        <v>1171633737</v>
      </c>
      <c r="K51" s="35" t="n">
        <v>897260091</v>
      </c>
      <c r="L51" s="34" t="n">
        <v>1241018671</v>
      </c>
      <c r="M51" s="35" t="n">
        <v>1039322292</v>
      </c>
    </row>
    <row r="52" outlineLevel="1" ht="15.75" customHeight="1">
      <c r="A52" s="33" t="inlineStr">
        <is>
          <t>Otros servicios de extensión</t>
        </is>
      </c>
      <c r="B52" s="34" t="n">
        <v>100050000</v>
      </c>
      <c r="C52" s="35" t="n">
        <v>23252000</v>
      </c>
      <c r="D52" s="34" t="n">
        <v>70000000</v>
      </c>
      <c r="E52" s="35" t="n">
        <v>35616400</v>
      </c>
      <c r="F52" s="34" t="n">
        <v>120000000</v>
      </c>
      <c r="G52" s="35" t="n">
        <v>92532495</v>
      </c>
      <c r="H52" s="34" t="n">
        <v>75000000</v>
      </c>
      <c r="I52" s="35" t="n">
        <v>226027253</v>
      </c>
      <c r="J52" s="34" t="n">
        <v>85000000</v>
      </c>
      <c r="K52" s="35" t="n">
        <v>184178207</v>
      </c>
      <c r="L52" s="34" t="n">
        <v>90000000</v>
      </c>
      <c r="M52" s="35" t="n">
        <v>151142759</v>
      </c>
    </row>
    <row r="53" outlineLevel="1" ht="15.75" customHeight="1">
      <c r="A53" s="33" t="inlineStr">
        <is>
          <t>Cursos de extensión</t>
        </is>
      </c>
      <c r="B53" s="34" t="n"/>
      <c r="C53" s="35" t="n"/>
      <c r="D53" s="34" t="n"/>
      <c r="E53" s="35" t="n"/>
      <c r="F53" s="34" t="n">
        <v>0</v>
      </c>
      <c r="G53" s="35" t="n">
        <v>0</v>
      </c>
      <c r="H53" s="34" t="n">
        <v>35260000</v>
      </c>
      <c r="I53" s="35" t="n">
        <v>192764</v>
      </c>
      <c r="J53" s="34" t="n">
        <v>18000000</v>
      </c>
      <c r="K53" s="35" t="n">
        <v>8130300</v>
      </c>
      <c r="L53" s="34" t="n">
        <v>10000000</v>
      </c>
      <c r="M53" s="35" t="n">
        <v>0</v>
      </c>
    </row>
    <row r="54" ht="15.75" customHeight="1">
      <c r="A54" s="30" t="inlineStr">
        <is>
          <t>ARRENDAMIENTOS</t>
        </is>
      </c>
      <c r="B54" s="31">
        <f>SUM(B55:B56)</f>
        <v/>
      </c>
      <c r="C54" s="32">
        <f>SUM(C55:C56)</f>
        <v/>
      </c>
      <c r="D54" s="31">
        <f>SUM(D55:D56)</f>
        <v/>
      </c>
      <c r="E54" s="32">
        <f>SUM(E55:E56)</f>
        <v/>
      </c>
      <c r="F54" s="31">
        <f>SUM(F55:F56)</f>
        <v/>
      </c>
      <c r="G54" s="32">
        <f>SUM(G55:G56)</f>
        <v/>
      </c>
      <c r="H54" s="31">
        <f>SUM(H55:H56)</f>
        <v/>
      </c>
      <c r="I54" s="32">
        <f>SUM(I55:I56)</f>
        <v/>
      </c>
      <c r="J54" s="31">
        <f>SUM(J55:J56)</f>
        <v/>
      </c>
      <c r="K54" s="32">
        <f>SUM(K55:K56)</f>
        <v/>
      </c>
      <c r="L54" s="31">
        <f>SUM(L55:L56)</f>
        <v/>
      </c>
      <c r="M54" s="32">
        <f>SUM(M55:M56)</f>
        <v/>
      </c>
    </row>
    <row r="55" outlineLevel="1" ht="15.75" customHeight="1">
      <c r="A55" s="36" t="inlineStr">
        <is>
          <t>Arrendamiento de bienes muebles</t>
        </is>
      </c>
      <c r="B55" s="48" t="n"/>
      <c r="C55" s="49" t="n"/>
      <c r="D55" s="48" t="n"/>
      <c r="E55" s="49" t="n"/>
      <c r="F55" s="48" t="n"/>
      <c r="G55" s="49" t="n"/>
      <c r="H55" s="48" t="n"/>
      <c r="I55" s="49" t="n"/>
      <c r="J55" s="48" t="n"/>
      <c r="K55" s="49" t="n"/>
      <c r="L55" s="48" t="n">
        <v>3500000</v>
      </c>
      <c r="M55" s="49" t="n">
        <v>0</v>
      </c>
    </row>
    <row r="56" outlineLevel="1" ht="15.75" customHeight="1">
      <c r="A56" s="36" t="inlineStr">
        <is>
          <t>Arrendamiento de bienes inmuebles</t>
        </is>
      </c>
      <c r="B56" s="37" t="n">
        <v>3000000</v>
      </c>
      <c r="C56" s="38" t="n">
        <v>0</v>
      </c>
      <c r="D56" s="37" t="n">
        <v>4500000</v>
      </c>
      <c r="E56" s="38" t="n">
        <v>1700000</v>
      </c>
      <c r="F56" s="37" t="n">
        <v>4500000</v>
      </c>
      <c r="G56" s="38" t="n">
        <v>3800000</v>
      </c>
      <c r="H56" s="37" t="n">
        <v>5000000</v>
      </c>
      <c r="I56" s="38" t="n">
        <v>3650000</v>
      </c>
      <c r="J56" s="37" t="n">
        <v>5000000</v>
      </c>
      <c r="K56" s="38" t="n">
        <v>650000</v>
      </c>
      <c r="L56" s="37" t="n">
        <v>0</v>
      </c>
      <c r="M56" s="38" t="n">
        <v>800000</v>
      </c>
    </row>
    <row r="57" ht="15.75" customHeight="1">
      <c r="A57" s="30" t="inlineStr">
        <is>
          <t>VENTA DE PRODUCTOS</t>
        </is>
      </c>
      <c r="B57" s="31">
        <f>SUM(B58:B61)</f>
        <v/>
      </c>
      <c r="C57" s="32">
        <f>SUM(C58:C61)</f>
        <v/>
      </c>
      <c r="D57" s="31">
        <f>SUM(D58:D61)</f>
        <v/>
      </c>
      <c r="E57" s="32">
        <f>SUM(E58:E61)</f>
        <v/>
      </c>
      <c r="F57" s="31">
        <f>SUM(F58:F61)</f>
        <v/>
      </c>
      <c r="G57" s="32">
        <f>SUM(G58:G61)</f>
        <v/>
      </c>
      <c r="H57" s="31">
        <f>SUM(H58:H61)</f>
        <v/>
      </c>
      <c r="I57" s="32">
        <f>SUM(I58:I61)</f>
        <v/>
      </c>
      <c r="J57" s="31">
        <f>SUM(J58:J61)</f>
        <v/>
      </c>
      <c r="K57" s="32">
        <f>SUM(K58:K61)</f>
        <v/>
      </c>
      <c r="L57" s="31">
        <f>SUM(L58:L61)</f>
        <v/>
      </c>
      <c r="M57" s="32">
        <f>SUM(M58:M61)</f>
        <v/>
      </c>
    </row>
    <row r="58" outlineLevel="1" ht="15.75" customHeight="1">
      <c r="A58" s="33" t="inlineStr">
        <is>
          <t>Venta de productos agrícolas</t>
        </is>
      </c>
      <c r="B58" s="34" t="n">
        <v>30000000</v>
      </c>
      <c r="C58" s="35" t="n">
        <v>14446050</v>
      </c>
      <c r="D58" s="34" t="n">
        <v>19000000</v>
      </c>
      <c r="E58" s="35" t="n">
        <v>18732800</v>
      </c>
      <c r="F58" s="34" t="n">
        <v>15000000</v>
      </c>
      <c r="G58" s="35" t="n">
        <v>20324000</v>
      </c>
      <c r="H58" s="34" t="n">
        <v>5000000</v>
      </c>
      <c r="I58" s="35" t="n">
        <v>5055600</v>
      </c>
      <c r="J58" s="34" t="n">
        <v>5000000</v>
      </c>
      <c r="K58" s="35" t="n">
        <v>11693800</v>
      </c>
      <c r="L58" s="34" t="n">
        <v>3000000</v>
      </c>
      <c r="M58" s="35" t="n">
        <v>9271002</v>
      </c>
    </row>
    <row r="59" outlineLevel="1" ht="15.75" customHeight="1">
      <c r="A59" s="33" t="inlineStr">
        <is>
          <t>Venta otros productos</t>
        </is>
      </c>
      <c r="B59" s="34" t="n"/>
      <c r="C59" s="35" t="n"/>
      <c r="D59" s="34" t="n">
        <v>1000000</v>
      </c>
      <c r="E59" s="35" t="n">
        <v>52200</v>
      </c>
      <c r="F59" s="34" t="n">
        <v>0</v>
      </c>
      <c r="G59" s="35" t="n">
        <v>41800</v>
      </c>
      <c r="H59" s="34" t="n">
        <v>3000000</v>
      </c>
      <c r="I59" s="35" t="n">
        <v>0</v>
      </c>
      <c r="J59" s="34" t="n">
        <v>2000000</v>
      </c>
      <c r="K59" s="35" t="n">
        <v>0</v>
      </c>
      <c r="L59" s="34" t="n">
        <v>1500000</v>
      </c>
      <c r="M59" s="35" t="n">
        <v>0</v>
      </c>
    </row>
    <row r="60" outlineLevel="1" ht="15.75" customHeight="1">
      <c r="A60" s="33" t="inlineStr">
        <is>
          <t>Venta de avícolas</t>
        </is>
      </c>
      <c r="B60" s="34" t="n"/>
      <c r="C60" s="35" t="n"/>
      <c r="D60" s="34" t="n"/>
      <c r="E60" s="35" t="n"/>
      <c r="F60" s="34" t="n"/>
      <c r="G60" s="35" t="n"/>
      <c r="H60" s="34" t="n">
        <v>18000000</v>
      </c>
      <c r="I60" s="35" t="n">
        <v>44209800</v>
      </c>
      <c r="J60" s="34" t="n">
        <v>35000000</v>
      </c>
      <c r="K60" s="35" t="n">
        <v>35265000</v>
      </c>
      <c r="L60" s="34" t="n">
        <v>45000000</v>
      </c>
      <c r="M60" s="35" t="n">
        <v>71465850</v>
      </c>
    </row>
    <row r="61" outlineLevel="1" ht="15.75" customHeight="1">
      <c r="A61" s="33" t="inlineStr">
        <is>
          <t>Venta de animales</t>
        </is>
      </c>
      <c r="B61" s="34" t="n"/>
      <c r="C61" s="35" t="n"/>
      <c r="D61" s="34" t="n"/>
      <c r="E61" s="35" t="n"/>
      <c r="F61" s="34" t="n"/>
      <c r="G61" s="35" t="n"/>
      <c r="H61" s="34" t="n">
        <v>3200000</v>
      </c>
      <c r="I61" s="35" t="n">
        <v>37000</v>
      </c>
      <c r="J61" s="34" t="n">
        <v>4000000</v>
      </c>
      <c r="K61" s="35" t="n">
        <v>6909800</v>
      </c>
      <c r="L61" s="34" t="n">
        <v>7000000</v>
      </c>
      <c r="M61" s="35" t="n">
        <v>5300000</v>
      </c>
    </row>
    <row r="62" ht="15.75" customHeight="1">
      <c r="A62" s="30" t="inlineStr">
        <is>
          <t>TRANSFERENCIAS EXTENSION</t>
        </is>
      </c>
      <c r="B62" s="31">
        <f>SUM(B63:B68)</f>
        <v/>
      </c>
      <c r="C62" s="32">
        <f>SUM(C63:C68)</f>
        <v/>
      </c>
      <c r="D62" s="31">
        <f>SUM(D63:D68)</f>
        <v/>
      </c>
      <c r="E62" s="32">
        <f>SUM(E63:E68)</f>
        <v/>
      </c>
      <c r="F62" s="31">
        <f>SUM(F63:F68)</f>
        <v/>
      </c>
      <c r="G62" s="32">
        <f>SUM(G63:G68)</f>
        <v/>
      </c>
      <c r="H62" s="31" t="n">
        <v>0</v>
      </c>
      <c r="I62" s="32" t="n">
        <v>0</v>
      </c>
      <c r="J62" s="31">
        <f>SUM(J63:J68)</f>
        <v/>
      </c>
      <c r="K62" s="32">
        <f>SUM(K63:K68)</f>
        <v/>
      </c>
      <c r="L62" s="31">
        <f>SUM(L63:L68)</f>
        <v/>
      </c>
      <c r="M62" s="32">
        <f>SUM(M63:M68)</f>
        <v/>
      </c>
      <c r="P62" s="4" t="n"/>
      <c r="Q62" s="4" t="n"/>
    </row>
    <row r="63" outlineLevel="1" ht="15.75" customHeight="1">
      <c r="A63" s="33" t="inlineStr">
        <is>
          <t>Transferencias o.i. excedentes por actividades generadoras de recursos</t>
        </is>
      </c>
      <c r="B63" s="34" t="n">
        <v>0</v>
      </c>
      <c r="C63" s="35" t="n">
        <v>240256574</v>
      </c>
      <c r="D63" s="34" t="n">
        <v>111406550</v>
      </c>
      <c r="E63" s="35" t="n">
        <v>211682299</v>
      </c>
      <c r="F63" s="34" t="n">
        <v>4493094</v>
      </c>
      <c r="G63" s="35" t="n">
        <v>0</v>
      </c>
      <c r="H63" s="34" t="n"/>
      <c r="I63" s="35" t="n"/>
      <c r="J63" s="34" t="n"/>
      <c r="K63" s="35" t="n"/>
      <c r="L63" s="34" t="n">
        <v>68012024</v>
      </c>
      <c r="M63" s="35" t="n">
        <v>0</v>
      </c>
      <c r="P63" s="4" t="n"/>
      <c r="Q63" s="4" t="n"/>
    </row>
    <row r="64" outlineLevel="1" ht="15.75" customHeight="1">
      <c r="A64" s="33" t="inlineStr">
        <is>
          <t>Transferencias o.i. costos indirectos</t>
        </is>
      </c>
      <c r="B64" s="34" t="n"/>
      <c r="C64" s="35" t="n"/>
      <c r="D64" s="34" t="n">
        <v>17303287</v>
      </c>
      <c r="E64" s="35" t="n">
        <v>16479321</v>
      </c>
      <c r="F64" s="34" t="n"/>
      <c r="G64" s="35" t="n"/>
      <c r="H64" s="34" t="n"/>
      <c r="I64" s="35" t="n"/>
      <c r="J64" s="34" t="n"/>
      <c r="K64" s="35" t="n"/>
      <c r="L64" s="34" t="n">
        <v>10401839</v>
      </c>
      <c r="M64" s="35" t="n">
        <v>0</v>
      </c>
      <c r="P64" s="4" t="n"/>
      <c r="Q64" s="4" t="n"/>
    </row>
    <row r="65" outlineLevel="1" ht="15.75" customHeight="1">
      <c r="A65" s="33" t="inlineStr">
        <is>
          <t>Transferencias o.i. dirección académica</t>
        </is>
      </c>
      <c r="B65" s="34" t="n"/>
      <c r="C65" s="35" t="n"/>
      <c r="D65" s="34" t="n">
        <v>66551105</v>
      </c>
      <c r="E65" s="35" t="n">
        <v>66551105</v>
      </c>
      <c r="F65" s="34" t="n"/>
      <c r="G65" s="35" t="n"/>
      <c r="H65" s="34" t="n"/>
      <c r="I65" s="35" t="n"/>
      <c r="J65" s="34" t="n"/>
      <c r="K65" s="35" t="n"/>
      <c r="L65" s="34" t="n">
        <v>40007073</v>
      </c>
      <c r="M65" s="35" t="n">
        <v>0</v>
      </c>
      <c r="P65" s="4" t="n"/>
      <c r="Q65" s="4" t="n"/>
    </row>
    <row r="66" outlineLevel="1" ht="15.75" customHeight="1">
      <c r="A66" s="33" t="inlineStr">
        <is>
          <t>Transferencias o.i. dirección de extensión de la sede</t>
        </is>
      </c>
      <c r="B66" s="34" t="n"/>
      <c r="C66" s="35" t="n"/>
      <c r="D66" s="34" t="n">
        <v>6655112</v>
      </c>
      <c r="E66" s="35" t="n">
        <v>6655111</v>
      </c>
      <c r="F66" s="34" t="n"/>
      <c r="G66" s="35" t="n"/>
      <c r="H66" s="34" t="n"/>
      <c r="I66" s="35" t="n"/>
      <c r="J66" s="34" t="n"/>
      <c r="K66" s="35" t="n"/>
      <c r="L66" s="34" t="n">
        <v>4000708</v>
      </c>
      <c r="M66" s="35" t="n">
        <v>0</v>
      </c>
      <c r="P66" s="4" t="n"/>
      <c r="Q66" s="4" t="n"/>
    </row>
    <row r="67" outlineLevel="1" ht="15.75" customHeight="1">
      <c r="A67" s="33" t="inlineStr">
        <is>
          <t>Transferencias o.i. fondo nacional de extensión solidaria</t>
        </is>
      </c>
      <c r="B67" s="34" t="n"/>
      <c r="C67" s="35" t="n"/>
      <c r="D67" s="34" t="n"/>
      <c r="E67" s="35" t="n"/>
      <c r="F67" s="34" t="n"/>
      <c r="G67" s="35" t="n"/>
      <c r="H67" s="34" t="n"/>
      <c r="I67" s="35" t="n"/>
      <c r="J67" s="34" t="n">
        <v>57098000</v>
      </c>
      <c r="K67" s="35" t="n">
        <v>57098000</v>
      </c>
      <c r="L67" s="34" t="n"/>
      <c r="M67" s="35" t="n"/>
      <c r="P67" s="4" t="n"/>
      <c r="Q67" s="4" t="n"/>
    </row>
    <row r="68" outlineLevel="1" ht="15.75" customHeight="1">
      <c r="A68" s="33" t="inlineStr">
        <is>
          <t>Transferencias o.i. fondo de riesgos para la extensión</t>
        </is>
      </c>
      <c r="B68" s="34" t="n"/>
      <c r="C68" s="35" t="n"/>
      <c r="D68" s="34" t="n"/>
      <c r="E68" s="35" t="n"/>
      <c r="F68" s="34" t="n"/>
      <c r="G68" s="35" t="n"/>
      <c r="H68" s="34" t="n"/>
      <c r="I68" s="35" t="n"/>
      <c r="J68" s="34" t="n">
        <v>29770242</v>
      </c>
      <c r="K68" s="35" t="n">
        <v>29770242</v>
      </c>
      <c r="L68" s="34" t="n"/>
      <c r="M68" s="35" t="n"/>
      <c r="P68" s="4" t="n"/>
      <c r="Q68" s="4" t="n"/>
    </row>
    <row r="69" ht="15.75" customHeight="1">
      <c r="A69" s="30" t="inlineStr">
        <is>
          <t>OTROS INGRESOS</t>
        </is>
      </c>
      <c r="B69" s="31">
        <f>SUM(B70:B73)</f>
        <v/>
      </c>
      <c r="C69" s="32">
        <f>SUM(C70:C73)</f>
        <v/>
      </c>
      <c r="D69" s="31">
        <f>SUM(D70:D73)</f>
        <v/>
      </c>
      <c r="E69" s="32">
        <f>SUM(E70:E73)</f>
        <v/>
      </c>
      <c r="F69" s="31">
        <f>SUM(F70:F73)</f>
        <v/>
      </c>
      <c r="G69" s="32">
        <f>SUM(G70:G73)</f>
        <v/>
      </c>
      <c r="H69" s="31">
        <f>SUM(H70:H73)</f>
        <v/>
      </c>
      <c r="I69" s="32">
        <f>SUM(I70:I73)</f>
        <v/>
      </c>
      <c r="J69" s="31">
        <f>SUM(J70:J73)</f>
        <v/>
      </c>
      <c r="K69" s="32">
        <f>SUM(K70:K73)</f>
        <v/>
      </c>
      <c r="L69" s="31">
        <f>SUM(L70:L73)</f>
        <v/>
      </c>
      <c r="M69" s="32">
        <f>SUM(M70:M73)</f>
        <v/>
      </c>
      <c r="P69" s="4" t="n"/>
      <c r="Q69" s="4" t="n"/>
    </row>
    <row r="70" outlineLevel="1" ht="15.75" customHeight="1">
      <c r="A70" s="33" t="inlineStr">
        <is>
          <t>Otros</t>
        </is>
      </c>
      <c r="B70" s="34" t="n">
        <v>0</v>
      </c>
      <c r="C70" s="35" t="n">
        <v>557077</v>
      </c>
      <c r="D70" s="34" t="n">
        <v>0</v>
      </c>
      <c r="E70" s="35" t="n">
        <v>14387040</v>
      </c>
      <c r="F70" s="34" t="n">
        <v>1200000000</v>
      </c>
      <c r="G70" s="35" t="n">
        <v>1371617975</v>
      </c>
      <c r="H70" s="34" t="n">
        <v>25000000</v>
      </c>
      <c r="I70" s="35" t="n">
        <v>10694247</v>
      </c>
      <c r="J70" s="34" t="n">
        <v>12000000</v>
      </c>
      <c r="K70" s="35" t="n">
        <v>205300</v>
      </c>
      <c r="L70" s="34" t="n">
        <v>0</v>
      </c>
      <c r="M70" s="35" t="n">
        <v>8032</v>
      </c>
      <c r="P70" s="4" t="n"/>
      <c r="Q70" s="4" t="n"/>
    </row>
    <row r="71" outlineLevel="1" ht="15.75" customHeight="1">
      <c r="A71" s="33" t="inlineStr">
        <is>
          <t>Devolución iva</t>
        </is>
      </c>
      <c r="B71" s="34" t="n"/>
      <c r="C71" s="35" t="n"/>
      <c r="D71" s="34" t="n"/>
      <c r="E71" s="35" t="n"/>
      <c r="F71" s="34" t="n">
        <v>0</v>
      </c>
      <c r="G71" s="35" t="n">
        <v>0</v>
      </c>
      <c r="H71" s="34" t="n"/>
      <c r="I71" s="35" t="n"/>
      <c r="J71" s="34" t="n"/>
      <c r="K71" s="35" t="n"/>
      <c r="L71" s="34" t="n"/>
      <c r="M71" s="35" t="n"/>
      <c r="P71" s="4" t="n"/>
      <c r="Q71" s="4" t="n"/>
    </row>
    <row r="72" outlineLevel="1" ht="15.75" customHeight="1">
      <c r="A72" s="33" t="inlineStr">
        <is>
          <t>Multas</t>
        </is>
      </c>
      <c r="B72" s="34" t="n"/>
      <c r="C72" s="35" t="n"/>
      <c r="D72" s="34" t="n"/>
      <c r="E72" s="35" t="n"/>
      <c r="F72" s="34" t="n"/>
      <c r="G72" s="35" t="n"/>
      <c r="H72" s="34" t="n">
        <v>1200000</v>
      </c>
      <c r="I72" s="35" t="n">
        <v>1633392</v>
      </c>
      <c r="J72" s="34" t="n">
        <v>1200000</v>
      </c>
      <c r="K72" s="35" t="n">
        <v>54220</v>
      </c>
      <c r="L72" s="34" t="n">
        <v>600000</v>
      </c>
      <c r="M72" s="35" t="n">
        <v>28228</v>
      </c>
      <c r="P72" s="4" t="n"/>
      <c r="Q72" s="4" t="n"/>
    </row>
    <row r="73" outlineLevel="1" ht="15.75" customHeight="1">
      <c r="A73" s="33" t="inlineStr">
        <is>
          <t>Recuperaciones</t>
        </is>
      </c>
      <c r="B73" s="34" t="n"/>
      <c r="C73" s="35" t="n"/>
      <c r="D73" s="34" t="n"/>
      <c r="E73" s="35" t="n"/>
      <c r="F73" s="34" t="n"/>
      <c r="G73" s="35" t="n"/>
      <c r="H73" s="34" t="n">
        <v>4250000</v>
      </c>
      <c r="I73" s="35" t="n">
        <v>0</v>
      </c>
      <c r="J73" s="34" t="n">
        <v>2100000</v>
      </c>
      <c r="K73" s="35" t="n">
        <v>0</v>
      </c>
      <c r="L73" s="34" t="n">
        <v>2000000</v>
      </c>
      <c r="M73" s="35" t="n">
        <v>21500000</v>
      </c>
      <c r="P73" s="4" t="n"/>
      <c r="Q73" s="4" t="n"/>
    </row>
    <row r="74" ht="15.75" customHeight="1">
      <c r="A74" s="30" t="inlineStr">
        <is>
          <t>TRANSFERENCIAS ENTRE FONDOS SIN CONTRAPRESTACIÓN</t>
        </is>
      </c>
      <c r="B74" s="31" t="n"/>
      <c r="C74" s="32" t="n"/>
      <c r="D74" s="31">
        <f>SUM(D75:D75)</f>
        <v/>
      </c>
      <c r="E74" s="32">
        <f>SUM(E75:E75)</f>
        <v/>
      </c>
      <c r="F74" s="31" t="n"/>
      <c r="G74" s="32" t="n"/>
      <c r="H74" s="31" t="n"/>
      <c r="I74" s="32" t="n"/>
      <c r="J74" s="31" t="n"/>
      <c r="K74" s="32" t="n"/>
      <c r="L74" s="31" t="n"/>
      <c r="M74" s="32" t="n"/>
      <c r="P74" s="4" t="n"/>
      <c r="Q74" s="4" t="n"/>
    </row>
    <row r="75" outlineLevel="1" ht="15.75" customHeight="1">
      <c r="A75" s="37" t="inlineStr">
        <is>
          <t>Transferencias o.i. sin contraprestación</t>
        </is>
      </c>
      <c r="B75" s="30" t="n"/>
      <c r="C75" s="45" t="n"/>
      <c r="D75" s="30" t="n">
        <v>20000000</v>
      </c>
      <c r="E75" s="45" t="n">
        <v>20000000</v>
      </c>
      <c r="F75" s="30" t="n"/>
      <c r="G75" s="45" t="n"/>
      <c r="H75" s="30" t="n"/>
      <c r="I75" s="45" t="n"/>
      <c r="J75" s="30" t="n"/>
      <c r="K75" s="45" t="n"/>
      <c r="L75" s="30" t="n"/>
      <c r="M75" s="45" t="n"/>
      <c r="P75" s="4" t="n"/>
      <c r="Q75" s="4" t="n"/>
    </row>
    <row r="76" ht="15.75" customHeight="1">
      <c r="A76" s="30" t="inlineStr">
        <is>
          <t>SERVICIOS ACADÉMICOS POSGRADO</t>
        </is>
      </c>
      <c r="B76" s="31" t="n"/>
      <c r="C76" s="32" t="n"/>
      <c r="D76" s="31" t="n"/>
      <c r="E76" s="32" t="n"/>
      <c r="F76" s="31">
        <f>SUM(F77:F77)</f>
        <v/>
      </c>
      <c r="G76" s="32">
        <f>SUM(G77:G77)</f>
        <v/>
      </c>
      <c r="H76" s="31">
        <f>SUM(H77:H77)</f>
        <v/>
      </c>
      <c r="I76" s="32">
        <f>SUM(I77:I77)</f>
        <v/>
      </c>
      <c r="J76" s="31">
        <f>SUM(J77:J77)</f>
        <v/>
      </c>
      <c r="K76" s="32">
        <f>SUM(K77:K77)</f>
        <v/>
      </c>
      <c r="L76" s="31" t="n"/>
      <c r="M76" s="32" t="n"/>
      <c r="P76" s="4" t="n"/>
      <c r="Q76" s="4" t="n"/>
    </row>
    <row r="77" outlineLevel="1" ht="15.75" customHeight="1">
      <c r="A77" s="56" t="inlineStr">
        <is>
          <t>Derechos de grado posgrado</t>
        </is>
      </c>
      <c r="B77" s="30" t="n"/>
      <c r="C77" s="45" t="n"/>
      <c r="D77" s="30" t="n"/>
      <c r="E77" s="45" t="n"/>
      <c r="F77" s="30" t="n">
        <v>15000000</v>
      </c>
      <c r="G77" s="45" t="n">
        <v>15000000</v>
      </c>
      <c r="H77" s="30" t="n">
        <v>15813000</v>
      </c>
      <c r="I77" s="45" t="n">
        <v>15813000</v>
      </c>
      <c r="J77" s="30" t="n">
        <v>17556060</v>
      </c>
      <c r="K77" s="45" t="n">
        <v>17556060</v>
      </c>
      <c r="L77" s="30" t="n"/>
      <c r="M77" s="45" t="n"/>
      <c r="P77" s="4" t="n"/>
      <c r="Q77" s="4" t="n"/>
    </row>
    <row r="78" ht="15.75" customHeight="1">
      <c r="A78" s="30" t="inlineStr">
        <is>
          <t>SERVICIOS DE INVESTIGACION</t>
        </is>
      </c>
      <c r="B78" s="31" t="n"/>
      <c r="C78" s="32" t="n"/>
      <c r="D78" s="31" t="n"/>
      <c r="E78" s="32" t="n"/>
      <c r="F78" s="31">
        <f>SUM(F79:F79)</f>
        <v/>
      </c>
      <c r="G78" s="32">
        <f>SUM(G79:G79)</f>
        <v/>
      </c>
      <c r="H78" s="31" t="n"/>
      <c r="I78" s="32" t="n"/>
      <c r="J78" s="31" t="n"/>
      <c r="K78" s="32" t="n"/>
      <c r="L78" s="31" t="n"/>
      <c r="M78" s="32" t="n"/>
      <c r="P78" s="4" t="n"/>
      <c r="Q78" s="4" t="n"/>
    </row>
    <row r="79" outlineLevel="1" ht="15.75" customHeight="1">
      <c r="A79" s="36" t="inlineStr">
        <is>
          <t>Convenios y/o contratos de investigación</t>
        </is>
      </c>
      <c r="B79" s="30" t="n"/>
      <c r="C79" s="45" t="n"/>
      <c r="D79" s="30" t="n"/>
      <c r="E79" s="45" t="n"/>
      <c r="F79" s="30" t="n">
        <v>10000000</v>
      </c>
      <c r="G79" s="45" t="n">
        <v>0</v>
      </c>
      <c r="H79" s="30" t="n"/>
      <c r="I79" s="45" t="n"/>
      <c r="J79" s="30" t="n"/>
      <c r="K79" s="45" t="n"/>
      <c r="L79" s="30" t="n"/>
      <c r="M79" s="45" t="n"/>
      <c r="P79" s="4" t="n"/>
      <c r="Q79" s="4" t="n"/>
    </row>
    <row r="80" ht="15.75" customHeight="1">
      <c r="A80" s="27" t="inlineStr">
        <is>
          <t>2. Recursos de capital</t>
        </is>
      </c>
      <c r="B80" s="28">
        <f>+B81+B83</f>
        <v/>
      </c>
      <c r="C80" s="29">
        <f>+C81+C83</f>
        <v/>
      </c>
      <c r="D80" s="28">
        <f>+D81+D83</f>
        <v/>
      </c>
      <c r="E80" s="29">
        <f>+E81+E83</f>
        <v/>
      </c>
      <c r="F80" s="28">
        <f>+F81+F83</f>
        <v/>
      </c>
      <c r="G80" s="29">
        <f>+G81+G83</f>
        <v/>
      </c>
      <c r="H80" s="28">
        <f>+H81+H83</f>
        <v/>
      </c>
      <c r="I80" s="29">
        <f>+I81+I83</f>
        <v/>
      </c>
      <c r="J80" s="28">
        <f>+J81+J83</f>
        <v/>
      </c>
      <c r="K80" s="29">
        <f>+K81+K83</f>
        <v/>
      </c>
      <c r="L80" s="28">
        <f>+L81+L83</f>
        <v/>
      </c>
      <c r="M80" s="29">
        <f>+M81+M83</f>
        <v/>
      </c>
      <c r="P80" s="4" t="n"/>
      <c r="Q80" s="4" t="n"/>
      <c r="R80" s="57" t="n"/>
    </row>
    <row r="81" ht="15.75" customHeight="1">
      <c r="A81" s="39" t="inlineStr">
        <is>
          <t>RENDIMIENTOS FINANCIEROS</t>
        </is>
      </c>
      <c r="B81" s="40">
        <f>SUM(B82:B82)</f>
        <v/>
      </c>
      <c r="C81" s="41">
        <f>SUM(C82:C82)</f>
        <v/>
      </c>
      <c r="D81" s="40">
        <f>SUM(D82:D82)</f>
        <v/>
      </c>
      <c r="E81" s="41">
        <f>SUM(E82:E82)</f>
        <v/>
      </c>
      <c r="F81" s="40">
        <f>SUM(F82:F82)</f>
        <v/>
      </c>
      <c r="G81" s="41">
        <f>SUM(G82:G82)</f>
        <v/>
      </c>
      <c r="H81" s="40">
        <f>SUM(H82:H82)</f>
        <v/>
      </c>
      <c r="I81" s="41">
        <f>SUM(I82:I82)</f>
        <v/>
      </c>
      <c r="J81" s="40">
        <f>SUM(J82:J82)</f>
        <v/>
      </c>
      <c r="K81" s="41">
        <f>SUM(K82:K82)</f>
        <v/>
      </c>
      <c r="L81" s="40">
        <f>SUM(L82:L82)</f>
        <v/>
      </c>
      <c r="M81" s="41">
        <f>SUM(M82:M82)</f>
        <v/>
      </c>
    </row>
    <row r="82" outlineLevel="1" ht="15.75" customHeight="1">
      <c r="A82" s="37" t="inlineStr">
        <is>
          <t>Rendimientos entidades financieras</t>
        </is>
      </c>
      <c r="B82" s="37" t="n">
        <v>1800000</v>
      </c>
      <c r="C82" s="58" t="n">
        <v>8875528</v>
      </c>
      <c r="D82" s="37" t="n">
        <v>2300000</v>
      </c>
      <c r="E82" s="58" t="n">
        <v>17974524</v>
      </c>
      <c r="F82" s="37" t="n">
        <v>6800000</v>
      </c>
      <c r="G82" s="58" t="n">
        <v>26563400</v>
      </c>
      <c r="H82" s="37" t="n">
        <v>25320000</v>
      </c>
      <c r="I82" s="58" t="n">
        <v>12607516</v>
      </c>
      <c r="J82" s="37" t="n">
        <v>18000000</v>
      </c>
      <c r="K82" s="58" t="n">
        <v>18211576</v>
      </c>
      <c r="L82" s="37" t="n">
        <v>0</v>
      </c>
      <c r="M82" s="58" t="n">
        <v>13153825</v>
      </c>
      <c r="P82" s="4" t="n"/>
    </row>
    <row r="83" ht="15.75" customHeight="1">
      <c r="A83" s="39" t="inlineStr">
        <is>
          <t>EXCEDENTES FINANCIEROS</t>
        </is>
      </c>
      <c r="B83" s="40">
        <f>SUM(B84:B87)</f>
        <v/>
      </c>
      <c r="C83" s="41">
        <f>SUM(C84:C87)</f>
        <v/>
      </c>
      <c r="D83" s="40">
        <f>SUM(D84:D87)</f>
        <v/>
      </c>
      <c r="E83" s="41">
        <f>SUM(E84:E87)</f>
        <v/>
      </c>
      <c r="F83" s="40">
        <f>SUM(F84:F87)</f>
        <v/>
      </c>
      <c r="G83" s="41">
        <f>SUM(G84:G87)</f>
        <v/>
      </c>
      <c r="H83" s="40">
        <f>SUM(H84:H87)</f>
        <v/>
      </c>
      <c r="I83" s="41">
        <f>SUM(I84:I87)</f>
        <v/>
      </c>
      <c r="J83" s="40">
        <f>SUM(J84:J87)</f>
        <v/>
      </c>
      <c r="K83" s="41">
        <f>SUM(K84:K87)</f>
        <v/>
      </c>
      <c r="L83" s="40">
        <f>SUM(L84:L87)</f>
        <v/>
      </c>
      <c r="M83" s="41">
        <f>SUM(M84:M87)</f>
        <v/>
      </c>
      <c r="P83" s="4" t="n"/>
    </row>
    <row r="84" outlineLevel="1" ht="15.75" customHeight="1">
      <c r="A84" s="37" t="inlineStr">
        <is>
          <t>Excedente financiero - destinación regulada</t>
        </is>
      </c>
      <c r="B84" s="37" t="n">
        <v>32163245</v>
      </c>
      <c r="C84" s="38" t="n">
        <v>32163245</v>
      </c>
      <c r="D84" s="37" t="n">
        <v>296460292</v>
      </c>
      <c r="E84" s="38" t="n">
        <v>296460292</v>
      </c>
      <c r="F84" s="37" t="n">
        <v>90000000</v>
      </c>
      <c r="G84" s="38" t="n">
        <v>90000000</v>
      </c>
      <c r="H84" s="37" t="n">
        <v>229581663</v>
      </c>
      <c r="I84" s="38" t="n">
        <v>229581663</v>
      </c>
      <c r="J84" s="37" t="n">
        <v>122000000</v>
      </c>
      <c r="K84" s="38" t="n">
        <v>122000000</v>
      </c>
      <c r="L84" s="37" t="n">
        <v>303289480</v>
      </c>
      <c r="M84" s="38" t="n">
        <v>303289480</v>
      </c>
      <c r="P84" s="4" t="n"/>
      <c r="Q84" s="4" t="n"/>
    </row>
    <row r="85" outlineLevel="1" ht="15.75" customHeight="1">
      <c r="A85" s="56" t="inlineStr">
        <is>
          <t>Saldos de apropiación de convenios y contratos en ejecución</t>
        </is>
      </c>
      <c r="B85" s="37" t="n">
        <v>256420969</v>
      </c>
      <c r="C85" s="38" t="n">
        <v>256420969</v>
      </c>
      <c r="D85" s="37" t="n">
        <v>155886302</v>
      </c>
      <c r="E85" s="38" t="n">
        <v>155886302</v>
      </c>
      <c r="F85" s="37" t="n">
        <v>30000000</v>
      </c>
      <c r="G85" s="38" t="n">
        <v>16171796</v>
      </c>
      <c r="H85" s="37" t="n"/>
      <c r="I85" s="38" t="n"/>
      <c r="J85" s="37" t="n"/>
      <c r="K85" s="38" t="n"/>
      <c r="L85" s="37" t="n"/>
      <c r="M85" s="38" t="n"/>
      <c r="P85" s="4" t="n"/>
      <c r="Q85" s="4" t="n"/>
    </row>
    <row r="86" outlineLevel="1" ht="15.75" customHeight="1">
      <c r="A86" s="56" t="inlineStr">
        <is>
          <t>Excedente del  fondo  nacional de  extensión solidaria y  del fondo de riesgos para la extensión</t>
        </is>
      </c>
      <c r="B86" s="37" t="n">
        <v>10000000</v>
      </c>
      <c r="C86" s="38" t="n">
        <v>10000000</v>
      </c>
      <c r="D86" s="37" t="n">
        <v>45000000</v>
      </c>
      <c r="E86" s="38" t="n">
        <v>45000000</v>
      </c>
      <c r="F86" s="37" t="n">
        <v>24530000</v>
      </c>
      <c r="G86" s="38" t="n">
        <v>24530000</v>
      </c>
      <c r="H86" s="37" t="n">
        <v>20000000</v>
      </c>
      <c r="I86" s="38" t="n">
        <v>20000000</v>
      </c>
      <c r="J86" s="37" t="n">
        <v>67619048</v>
      </c>
      <c r="K86" s="38" t="n">
        <v>67619048</v>
      </c>
      <c r="L86" s="37" t="n">
        <v>131080752</v>
      </c>
      <c r="M86" s="38" t="n">
        <v>131080752</v>
      </c>
      <c r="P86" s="4" t="n"/>
      <c r="Q86" s="4" t="n"/>
    </row>
    <row r="87" outlineLevel="1" ht="15.75" customHeight="1">
      <c r="A87" s="59" t="inlineStr">
        <is>
          <t>EXCEDENTE FINANCIERO - ESPECÍFICA UGI FONDO</t>
        </is>
      </c>
      <c r="B87" s="59" t="n"/>
      <c r="C87" s="60" t="n"/>
      <c r="D87" s="59" t="n">
        <v>105106072</v>
      </c>
      <c r="E87" s="60" t="n">
        <v>85106072</v>
      </c>
      <c r="F87" s="59" t="n">
        <v>70000000</v>
      </c>
      <c r="G87" s="60" t="n">
        <v>70000000</v>
      </c>
      <c r="H87" s="59" t="n"/>
      <c r="I87" s="60" t="n"/>
      <c r="J87" s="59" t="n"/>
      <c r="K87" s="60" t="n"/>
      <c r="L87" s="59" t="n"/>
      <c r="M87" s="60" t="n"/>
      <c r="P87" s="4" t="n"/>
      <c r="Q87" s="4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2024-12-12T06:30:17Z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