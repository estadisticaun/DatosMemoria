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\ * #,##0_-;\-&quot;$&quot;\ * #,##0_-;_-&quot;$&quot;\ * &quot;-&quot;??_-;_-@_-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0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44" fontId="1" fillId="0" borderId="0"/>
  </cellStyleXfs>
  <cellXfs count="77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3" borderId="6" pivotButton="0" quotePrefix="0" xfId="0"/>
    <xf numFmtId="164" fontId="5" fillId="3" borderId="6" pivotButton="0" quotePrefix="0" xfId="0"/>
    <xf numFmtId="164" fontId="5" fillId="3" borderId="7" pivotButton="0" quotePrefix="0" xfId="0"/>
    <xf numFmtId="0" fontId="6" fillId="4" borderId="6" pivotButton="0" quotePrefix="1" xfId="0"/>
    <xf numFmtId="164" fontId="6" fillId="4" borderId="6" pivotButton="0" quotePrefix="0" xfId="0"/>
    <xf numFmtId="164" fontId="6" fillId="4" borderId="7" pivotButton="0" quotePrefix="0" xfId="0"/>
    <xf numFmtId="0" fontId="3" fillId="5" borderId="4" pivotButton="0" quotePrefix="0" xfId="0"/>
    <xf numFmtId="164" fontId="3" fillId="5" borderId="4" pivotButton="0" quotePrefix="0" xfId="0"/>
    <xf numFmtId="164" fontId="3" fillId="5" borderId="1" pivotButton="0" quotePrefix="0" xfId="0"/>
    <xf numFmtId="164" fontId="3" fillId="5" borderId="5" pivotButton="0" quotePrefix="0" xfId="0"/>
    <xf numFmtId="0" fontId="3" fillId="0" borderId="8" pivotButton="0" quotePrefix="0" xfId="0"/>
    <xf numFmtId="164" fontId="3" fillId="0" borderId="9" pivotButton="0" quotePrefix="0" xfId="1"/>
    <xf numFmtId="164" fontId="3" fillId="0" borderId="2" pivotButton="0" quotePrefix="0" xfId="1"/>
    <xf numFmtId="164" fontId="3" fillId="0" borderId="3" pivotButton="0" quotePrefix="0" xfId="1"/>
    <xf numFmtId="0" fontId="0" fillId="0" borderId="10" pivotButton="0" quotePrefix="0" xfId="0"/>
    <xf numFmtId="164" fontId="0" fillId="0" borderId="0" pivotButton="0" quotePrefix="0" xfId="1"/>
    <xf numFmtId="164" fontId="0" fillId="0" borderId="11" pivotButton="0" quotePrefix="0" xfId="1"/>
    <xf numFmtId="164" fontId="0" fillId="0" borderId="12" pivotButton="0" quotePrefix="0" xfId="1"/>
    <xf numFmtId="0" fontId="0" fillId="0" borderId="10" applyAlignment="1" pivotButton="0" quotePrefix="0" xfId="0">
      <alignment horizontal="left" indent="3"/>
    </xf>
    <xf numFmtId="164" fontId="0" fillId="0" borderId="0" applyAlignment="1" pivotButton="0" quotePrefix="0" xfId="1">
      <alignment horizontal="left" indent="3"/>
    </xf>
    <xf numFmtId="164" fontId="0" fillId="0" borderId="11" applyAlignment="1" pivotButton="0" quotePrefix="0" xfId="1">
      <alignment horizontal="left" indent="3"/>
    </xf>
    <xf numFmtId="164" fontId="0" fillId="0" borderId="12" applyAlignment="1" pivotButton="0" quotePrefix="0" xfId="1">
      <alignment horizontal="left" indent="3"/>
    </xf>
    <xf numFmtId="0" fontId="0" fillId="0" borderId="10" applyAlignment="1" pivotButton="0" quotePrefix="0" xfId="0">
      <alignment horizontal="left" vertical="center" wrapText="1" indent="3"/>
    </xf>
    <xf numFmtId="164" fontId="0" fillId="0" borderId="0" applyAlignment="1" pivotButton="0" quotePrefix="0" xfId="1">
      <alignment horizontal="left" vertical="center" wrapText="1" indent="3"/>
    </xf>
    <xf numFmtId="164" fontId="0" fillId="0" borderId="11" applyAlignment="1" pivotButton="0" quotePrefix="0" xfId="1">
      <alignment horizontal="left" vertical="center" wrapText="1" indent="3"/>
    </xf>
    <xf numFmtId="164" fontId="0" fillId="0" borderId="12" applyAlignment="1" pivotButton="0" quotePrefix="0" xfId="1">
      <alignment horizontal="left" vertical="center" wrapText="1" indent="3"/>
    </xf>
    <xf numFmtId="0" fontId="0" fillId="0" borderId="0" applyAlignment="1" pivotButton="0" quotePrefix="0" xfId="0">
      <alignment horizontal="left" indent="3"/>
    </xf>
    <xf numFmtId="164" fontId="3" fillId="5" borderId="13" pivotButton="0" quotePrefix="0" xfId="0"/>
    <xf numFmtId="164" fontId="3" fillId="5" borderId="14" pivotButton="0" quotePrefix="0" xfId="1"/>
    <xf numFmtId="164" fontId="3" fillId="5" borderId="6" pivotButton="0" quotePrefix="0" xfId="1"/>
    <xf numFmtId="164" fontId="3" fillId="5" borderId="7" pivotButton="0" quotePrefix="0" xfId="1"/>
    <xf numFmtId="0" fontId="0" fillId="0" borderId="8" pivotButton="0" quotePrefix="0" xfId="0"/>
    <xf numFmtId="164" fontId="0" fillId="0" borderId="0" applyAlignment="1" pivotButton="0" quotePrefix="0" xfId="1">
      <alignment vertical="center" wrapText="1"/>
    </xf>
    <xf numFmtId="164" fontId="0" fillId="0" borderId="11" applyAlignment="1" pivotButton="0" quotePrefix="0" xfId="1">
      <alignment vertical="center" wrapText="1"/>
    </xf>
    <xf numFmtId="164" fontId="0" fillId="0" borderId="12" applyAlignment="1" pivotButton="0" quotePrefix="0" xfId="1">
      <alignment vertical="center" wrapText="1"/>
    </xf>
    <xf numFmtId="0" fontId="0" fillId="0" borderId="15" applyAlignment="1" pivotButton="0" quotePrefix="0" xfId="0">
      <alignment horizontal="left" vertical="center" wrapText="1" indent="3"/>
    </xf>
    <xf numFmtId="0" fontId="6" fillId="4" borderId="13" pivotButton="0" quotePrefix="1" xfId="0"/>
    <xf numFmtId="164" fontId="6" fillId="4" borderId="14" pivotButton="0" quotePrefix="0" xfId="1"/>
    <xf numFmtId="164" fontId="6" fillId="4" borderId="6" pivotButton="0" quotePrefix="0" xfId="1"/>
    <xf numFmtId="164" fontId="6" fillId="4" borderId="7" pivotButton="0" quotePrefix="0" xfId="1"/>
    <xf numFmtId="0" fontId="3" fillId="5" borderId="15" pivotButton="0" quotePrefix="0" xfId="0"/>
    <xf numFmtId="164" fontId="3" fillId="5" borderId="1" pivotButton="0" quotePrefix="0" xfId="1"/>
    <xf numFmtId="164" fontId="3" fillId="5" borderId="4" pivotButton="0" quotePrefix="0" xfId="1"/>
    <xf numFmtId="164" fontId="3" fillId="5" borderId="5" pivotButton="0" quotePrefix="0" xfId="1"/>
    <xf numFmtId="164" fontId="1" fillId="0" borderId="0" pivotButton="0" quotePrefix="0" xfId="1"/>
    <xf numFmtId="164" fontId="1" fillId="0" borderId="11" pivotButton="0" quotePrefix="0" xfId="1"/>
    <xf numFmtId="164" fontId="1" fillId="0" borderId="12" pivotButton="0" quotePrefix="0" xfId="1"/>
    <xf numFmtId="164" fontId="1" fillId="0" borderId="0" applyAlignment="1" pivotButton="0" quotePrefix="0" xfId="1">
      <alignment horizontal="left" indent="3"/>
    </xf>
    <xf numFmtId="164" fontId="1" fillId="0" borderId="11" applyAlignment="1" pivotButton="0" quotePrefix="0" xfId="1">
      <alignment horizontal="left" indent="3"/>
    </xf>
    <xf numFmtId="164" fontId="1" fillId="0" borderId="12" applyAlignment="1" pivotButton="0" quotePrefix="0" xfId="1">
      <alignment horizontal="left" indent="3"/>
    </xf>
    <xf numFmtId="0" fontId="0" fillId="0" borderId="1" applyAlignment="1" pivotButton="0" quotePrefix="0" xfId="0">
      <alignment horizontal="left" indent="3"/>
    </xf>
    <xf numFmtId="0" fontId="0" fillId="0" borderId="4" applyAlignment="1" pivotButton="0" quotePrefix="0" xfId="0">
      <alignment horizontal="left" indent="3"/>
    </xf>
    <xf numFmtId="0" fontId="0" fillId="0" borderId="5" applyAlignment="1" pivotButton="0" quotePrefix="0" xfId="0">
      <alignment horizontal="left" indent="3"/>
    </xf>
    <xf numFmtId="0" fontId="0" fillId="0" borderId="10" applyAlignment="1" pivotButton="0" quotePrefix="0" xfId="0">
      <alignment horizontal="left" vertical="center" indent="3"/>
    </xf>
    <xf numFmtId="0" fontId="0" fillId="0" borderId="1" pivotButton="0" quotePrefix="0" xfId="0"/>
    <xf numFmtId="0" fontId="2" fillId="2" borderId="6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5" fillId="6" borderId="6" pivotButton="0" quotePrefix="0" xfId="0"/>
    <xf numFmtId="164" fontId="5" fillId="6" borderId="7" pivotButton="0" quotePrefix="0" xfId="0"/>
    <xf numFmtId="164" fontId="6" fillId="6" borderId="6" pivotButton="0" quotePrefix="0" xfId="1"/>
    <xf numFmtId="164" fontId="6" fillId="6" borderId="7" pivotButton="0" quotePrefix="0" xfId="1"/>
    <xf numFmtId="164" fontId="3" fillId="6" borderId="4" pivotButton="0" quotePrefix="0" xfId="1"/>
    <xf numFmtId="164" fontId="3" fillId="6" borderId="5" pivotButton="0" quotePrefix="0" xfId="1"/>
    <xf numFmtId="164" fontId="3" fillId="6" borderId="2" pivotButton="0" quotePrefix="0" xfId="1"/>
    <xf numFmtId="164" fontId="3" fillId="6" borderId="3" pivotButton="0" quotePrefix="0" xfId="1"/>
    <xf numFmtId="164" fontId="1" fillId="6" borderId="11" pivotButton="0" quotePrefix="0" xfId="1"/>
    <xf numFmtId="164" fontId="1" fillId="6" borderId="12" pivotButton="0" quotePrefix="0" xfId="1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tabSelected="1" workbookViewId="0">
      <selection activeCell="B10" sqref="B10"/>
    </sheetView>
  </sheetViews>
  <sheetFormatPr baseColWidth="10" defaultColWidth="0" defaultRowHeight="15" zeroHeight="1" outlineLevelRow="1"/>
  <cols>
    <col width="45.85546875" customWidth="1" min="1" max="1"/>
    <col width="24.42578125" bestFit="1" customWidth="1" min="2" max="2"/>
    <col width="27.42578125" bestFit="1" customWidth="1" min="3" max="3"/>
    <col width="24.42578125" bestFit="1" customWidth="1" min="4" max="4"/>
    <col width="27.42578125" bestFit="1" customWidth="1" min="5" max="5"/>
    <col width="24.42578125" bestFit="1" customWidth="1" min="6" max="6"/>
    <col width="27.42578125" bestFit="1" customWidth="1" min="7" max="7"/>
    <col width="24.42578125" bestFit="1" customWidth="1" min="8" max="8"/>
    <col width="27.42578125" bestFit="1" customWidth="1" min="9" max="9"/>
    <col width="24.42578125" bestFit="1" customWidth="1" min="10" max="10"/>
    <col width="27.42578125" bestFit="1" customWidth="1" min="11" max="11"/>
    <col width="24.42578125" bestFit="1" customWidth="1" min="12" max="12"/>
    <col width="27.42578125" bestFit="1" customWidth="1" min="13" max="13"/>
    <col hidden="1" width="11.42578125" customWidth="1" min="30" max="16384"/>
  </cols>
  <sheetData>
    <row r="1" ht="15" customHeight="1">
      <c r="A1" s="2" t="inlineStr">
        <is>
          <t>UNIDAD GESTION GENERAL MEDELLIN</t>
        </is>
      </c>
    </row>
    <row r="2" ht="15" customHeight="1">
      <c r="A2" s="62" t="n"/>
      <c r="B2" s="62" t="n"/>
      <c r="C2" s="62" t="n"/>
      <c r="D2" s="62" t="n"/>
      <c r="E2" s="62" t="n"/>
      <c r="F2" s="62" t="n"/>
      <c r="G2" s="62" t="n"/>
      <c r="H2" s="62" t="n"/>
      <c r="I2" s="62" t="n"/>
      <c r="J2" s="62" t="n"/>
      <c r="K2" s="62" t="n"/>
      <c r="L2" s="62" t="n"/>
      <c r="M2" s="62" t="n"/>
    </row>
    <row r="3">
      <c r="A3" s="63" t="inlineStr">
        <is>
          <t>CONCEPTO</t>
        </is>
      </c>
      <c r="B3" s="64" t="n">
        <v>2016</v>
      </c>
      <c r="C3" s="65" t="n"/>
      <c r="D3" s="64" t="n">
        <v>2017</v>
      </c>
      <c r="E3" s="65" t="n"/>
      <c r="F3" s="64" t="n">
        <v>2018</v>
      </c>
      <c r="G3" s="65" t="n"/>
      <c r="H3" s="64" t="n">
        <v>2019</v>
      </c>
      <c r="I3" s="65" t="n"/>
      <c r="J3" s="64" t="n">
        <v>2020</v>
      </c>
      <c r="K3" s="65" t="n"/>
      <c r="L3" s="64" t="n">
        <v>2021</v>
      </c>
      <c r="M3" s="65" t="n"/>
    </row>
    <row r="4">
      <c r="A4" s="66" t="n"/>
      <c r="B4" s="6" t="inlineStr">
        <is>
          <t>Aforo vigente</t>
        </is>
      </c>
      <c r="C4" s="7" t="inlineStr">
        <is>
          <t>Recaudo efectivo acumulado</t>
        </is>
      </c>
      <c r="D4" s="6" t="inlineStr">
        <is>
          <t>Aforo vigente</t>
        </is>
      </c>
      <c r="E4" s="7" t="inlineStr">
        <is>
          <t>Recaudo efectivo acumulado</t>
        </is>
      </c>
      <c r="F4" s="6" t="inlineStr">
        <is>
          <t>Aforo vigente</t>
        </is>
      </c>
      <c r="G4" s="7" t="inlineStr">
        <is>
          <t>Recaudo efectivo acumulado</t>
        </is>
      </c>
      <c r="H4" s="6" t="inlineStr">
        <is>
          <t>Aforo vigente</t>
        </is>
      </c>
      <c r="I4" s="7" t="inlineStr">
        <is>
          <t>Recaudo efectivo acumulado</t>
        </is>
      </c>
      <c r="J4" s="6" t="inlineStr">
        <is>
          <t>Aforo vigente</t>
        </is>
      </c>
      <c r="K4" s="7" t="inlineStr">
        <is>
          <t>Recaudo efectivo acumulado</t>
        </is>
      </c>
      <c r="L4" s="6" t="inlineStr">
        <is>
          <t>Aforo vigente</t>
        </is>
      </c>
      <c r="M4" s="7" t="inlineStr">
        <is>
          <t>Recaudo efectivo acumulado</t>
        </is>
      </c>
    </row>
    <row r="5" ht="18.75" customHeight="1">
      <c r="A5" s="8" t="inlineStr">
        <is>
          <t>GESTION GENERAL</t>
        </is>
      </c>
      <c r="B5" s="9">
        <f>+B6+B52</f>
        <v/>
      </c>
      <c r="C5" s="10">
        <f>+C6+C52</f>
        <v/>
      </c>
      <c r="D5" s="67">
        <f>+D6+D52</f>
        <v/>
      </c>
      <c r="E5" s="10">
        <f>+E6+E52</f>
        <v/>
      </c>
      <c r="F5" s="67">
        <f>+F6+F52</f>
        <v/>
      </c>
      <c r="G5" s="68">
        <f>+G6+G52</f>
        <v/>
      </c>
      <c r="H5" s="67">
        <f>+H6+H52</f>
        <v/>
      </c>
      <c r="I5" s="68">
        <f>+I6+I52</f>
        <v/>
      </c>
      <c r="J5" s="67">
        <f>+J6+J52</f>
        <v/>
      </c>
      <c r="K5" s="68">
        <f>+K6+K52</f>
        <v/>
      </c>
      <c r="L5" s="67">
        <f>+L6+L52</f>
        <v/>
      </c>
      <c r="M5" s="68">
        <f>+M6+M52</f>
        <v/>
      </c>
    </row>
    <row r="6" ht="15.75" customHeight="1">
      <c r="A6" s="11" t="inlineStr">
        <is>
          <t>- NIVEL CENTRAL</t>
        </is>
      </c>
      <c r="B6" s="12">
        <f>+B7+B44+B47</f>
        <v/>
      </c>
      <c r="C6" s="13">
        <f>+C7+C44+C47</f>
        <v/>
      </c>
      <c r="D6" s="12">
        <f>+D7+D44+D47</f>
        <v/>
      </c>
      <c r="E6" s="13">
        <f>+E7+E44+E47</f>
        <v/>
      </c>
      <c r="F6" s="12">
        <f>+F7+F44+F47</f>
        <v/>
      </c>
      <c r="G6" s="13">
        <f>+G7+G44+G47</f>
        <v/>
      </c>
      <c r="H6" s="12">
        <f>+H7+H44+H47</f>
        <v/>
      </c>
      <c r="I6" s="13">
        <f>+I7+I44+I47</f>
        <v/>
      </c>
      <c r="J6" s="12">
        <f>+J7+J44+J47</f>
        <v/>
      </c>
      <c r="K6" s="13">
        <f>+K7+K44+K47</f>
        <v/>
      </c>
      <c r="L6" s="12">
        <f>+L7+L44+L47</f>
        <v/>
      </c>
      <c r="M6" s="13">
        <f>+M7+M44+M47</f>
        <v/>
      </c>
    </row>
    <row r="7">
      <c r="A7" s="14" t="inlineStr">
        <is>
          <t xml:space="preserve">I. Recursos propios </t>
        </is>
      </c>
      <c r="B7" s="15">
        <f>+B8+B27</f>
        <v/>
      </c>
      <c r="C7" s="16">
        <f>+C8+C27</f>
        <v/>
      </c>
      <c r="D7" s="15">
        <f>+D8+D27</f>
        <v/>
      </c>
      <c r="E7" s="16">
        <f>+E8+E27</f>
        <v/>
      </c>
      <c r="F7" s="15">
        <f>+F8+F27</f>
        <v/>
      </c>
      <c r="G7" s="16">
        <f>+G8+G27</f>
        <v/>
      </c>
      <c r="H7" s="15">
        <f>+H8+H27</f>
        <v/>
      </c>
      <c r="I7" s="16">
        <f>+I8+I27</f>
        <v/>
      </c>
      <c r="J7" s="15">
        <f>+J8+J27</f>
        <v/>
      </c>
      <c r="K7" s="16">
        <f>+K8+K27</f>
        <v/>
      </c>
      <c r="L7" s="15">
        <f>+L8+L27</f>
        <v/>
      </c>
      <c r="M7" s="17">
        <f>+M8+M27</f>
        <v/>
      </c>
    </row>
    <row r="8" ht="15.75" customHeight="1">
      <c r="A8" s="18" t="inlineStr">
        <is>
          <t>1. Ingresos corrientes</t>
        </is>
      </c>
      <c r="B8" s="19">
        <f>+B9+B16+B18+B24</f>
        <v/>
      </c>
      <c r="C8" s="19">
        <f>+C9+C16+C18+C24</f>
        <v/>
      </c>
      <c r="D8" s="20">
        <f>+D9+D16+D18+D24</f>
        <v/>
      </c>
      <c r="E8" s="21">
        <f>+E9+E16+E18+E24</f>
        <v/>
      </c>
      <c r="F8" s="20">
        <f>+F9+F16+F18+F24</f>
        <v/>
      </c>
      <c r="G8" s="21">
        <f>+G9+G16+G18+G24</f>
        <v/>
      </c>
      <c r="H8" s="20">
        <f>+H9+H16+H18+H24</f>
        <v/>
      </c>
      <c r="I8" s="21">
        <f>+I9+I16+I18+I24</f>
        <v/>
      </c>
      <c r="J8" s="20">
        <f>+J9+J16+J18+J24</f>
        <v/>
      </c>
      <c r="K8" s="21">
        <f>+K9+K16+K18+K24</f>
        <v/>
      </c>
      <c r="L8" s="20">
        <f>+L9+L16+L18+L24</f>
        <v/>
      </c>
      <c r="M8" s="21">
        <f>+M9+M16+M18+M24</f>
        <v/>
      </c>
    </row>
    <row r="9" ht="15.75" customHeight="1">
      <c r="A9" s="22" t="inlineStr">
        <is>
          <t>SERVICIOS ACADÉMICOS PREGRADO</t>
        </is>
      </c>
      <c r="B9" s="23">
        <f>SUM(B10:B15)</f>
        <v/>
      </c>
      <c r="C9" s="23">
        <f>SUM(C10:C15)</f>
        <v/>
      </c>
      <c r="D9" s="24">
        <f>SUM(D10:D15)</f>
        <v/>
      </c>
      <c r="E9" s="25">
        <f>SUM(E10:E15)</f>
        <v/>
      </c>
      <c r="F9" s="24">
        <f>SUM(F10:F15)</f>
        <v/>
      </c>
      <c r="G9" s="25">
        <f>SUM(G10:G15)</f>
        <v/>
      </c>
      <c r="H9" s="24">
        <f>SUM(H10:H15)</f>
        <v/>
      </c>
      <c r="I9" s="25">
        <f>SUM(I10:I15)</f>
        <v/>
      </c>
      <c r="J9" s="24">
        <f>SUM(J10:J15)</f>
        <v/>
      </c>
      <c r="K9" s="25">
        <f>SUM(K10:K15)</f>
        <v/>
      </c>
      <c r="L9" s="24">
        <f>SUM(L10:L15)</f>
        <v/>
      </c>
      <c r="M9" s="25">
        <f>SUM(M10:M15)</f>
        <v/>
      </c>
    </row>
    <row r="10" outlineLevel="1" ht="15.75" customHeight="1">
      <c r="A10" s="26" t="inlineStr">
        <is>
          <t>Inscripciones pregrado</t>
        </is>
      </c>
      <c r="B10" s="27" t="n">
        <v>530840079</v>
      </c>
      <c r="C10" s="27" t="n">
        <v>530840079</v>
      </c>
      <c r="D10" s="28" t="n">
        <v>561629000</v>
      </c>
      <c r="E10" s="29" t="n">
        <v>561629000</v>
      </c>
      <c r="F10" s="28" t="n">
        <v>585217348</v>
      </c>
      <c r="G10" s="29" t="n">
        <v>585217348</v>
      </c>
      <c r="H10" s="28" t="n">
        <v>604529520</v>
      </c>
      <c r="I10" s="29" t="n">
        <v>604529520</v>
      </c>
      <c r="J10" s="28" t="n">
        <v>604529520</v>
      </c>
      <c r="K10" s="29" t="n">
        <v>445506998</v>
      </c>
      <c r="L10" s="28" t="n">
        <v>604529520</v>
      </c>
      <c r="M10" s="29" t="n">
        <v>339345718</v>
      </c>
    </row>
    <row r="11" outlineLevel="1" ht="15.75" customHeight="1">
      <c r="A11" s="26" t="inlineStr">
        <is>
          <t>Matrículas pregrado</t>
        </is>
      </c>
      <c r="B11" s="27" t="n">
        <v>5752703149</v>
      </c>
      <c r="C11" s="27" t="n">
        <v>10007591504</v>
      </c>
      <c r="D11" s="28" t="n">
        <v>6894241110</v>
      </c>
      <c r="E11" s="29" t="n">
        <v>11011264315</v>
      </c>
      <c r="F11" s="28" t="n">
        <v>7171922250</v>
      </c>
      <c r="G11" s="29" t="n">
        <v>7213929682</v>
      </c>
      <c r="H11" s="28" t="n">
        <v>10928922515</v>
      </c>
      <c r="I11" s="29" t="n">
        <v>10570489560</v>
      </c>
      <c r="J11" s="28" t="n">
        <v>8585565046</v>
      </c>
      <c r="K11" s="29" t="n">
        <v>7834835301</v>
      </c>
      <c r="L11" s="28" t="n">
        <v>12574630170</v>
      </c>
      <c r="M11" s="29" t="n">
        <v>11277677161</v>
      </c>
    </row>
    <row r="12" outlineLevel="1" ht="15.75" customHeight="1">
      <c r="A12" s="26" t="inlineStr">
        <is>
          <t>Sistematización matrícula pregrado</t>
        </is>
      </c>
      <c r="B12" s="27" t="n">
        <v>609501681</v>
      </c>
      <c r="C12" s="27" t="n">
        <v>1011987541</v>
      </c>
      <c r="D12" s="28" t="n">
        <v>747981500</v>
      </c>
      <c r="E12" s="29" t="n">
        <v>1076877316</v>
      </c>
      <c r="F12" s="28" t="n">
        <v>775465700</v>
      </c>
      <c r="G12" s="29" t="n">
        <v>726853570</v>
      </c>
      <c r="H12" s="28" t="n">
        <v>1214588500</v>
      </c>
      <c r="I12" s="29" t="n">
        <v>1194203375</v>
      </c>
      <c r="J12" s="28" t="n">
        <v>1422933200</v>
      </c>
      <c r="K12" s="29" t="n">
        <v>750146736</v>
      </c>
      <c r="L12" s="28" t="n">
        <v>1422933138</v>
      </c>
      <c r="M12" s="29" t="n">
        <v>1534477613</v>
      </c>
    </row>
    <row r="13" outlineLevel="1" ht="15.75" customHeight="1">
      <c r="A13" s="26" t="inlineStr">
        <is>
          <t>Bienestar matricula pregrado</t>
        </is>
      </c>
      <c r="B13" s="27" t="n">
        <v>846181449</v>
      </c>
      <c r="C13" s="27" t="n">
        <v>1425741583</v>
      </c>
      <c r="D13" s="28" t="n">
        <v>1021141300</v>
      </c>
      <c r="E13" s="29" t="n">
        <v>1573585302</v>
      </c>
      <c r="F13" s="28" t="n">
        <v>853535478</v>
      </c>
      <c r="G13" s="29" t="n">
        <v>1008142593</v>
      </c>
      <c r="H13" s="28" t="n">
        <v>1571230000</v>
      </c>
      <c r="I13" s="29" t="n">
        <v>1689272114</v>
      </c>
      <c r="J13" s="28" t="n">
        <v>1763925500</v>
      </c>
      <c r="K13" s="29" t="n">
        <v>1012424656</v>
      </c>
      <c r="L13" s="28" t="n">
        <v>1763925432</v>
      </c>
      <c r="M13" s="29" t="n">
        <v>1959061083</v>
      </c>
    </row>
    <row r="14" outlineLevel="1" ht="15.75" customHeight="1">
      <c r="A14" s="26" t="inlineStr">
        <is>
          <t>PROGRAMA SER PILO PAGA</t>
        </is>
      </c>
      <c r="B14" s="27" t="n">
        <v>300200450</v>
      </c>
      <c r="C14" s="27" t="n">
        <v>300200450</v>
      </c>
      <c r="D14" s="28" t="n">
        <v>588809443</v>
      </c>
      <c r="E14" s="29" t="n">
        <v>1056954652</v>
      </c>
      <c r="F14" s="28" t="n">
        <v>1056954652</v>
      </c>
      <c r="G14" s="29" t="n">
        <v>1511380652</v>
      </c>
      <c r="H14" s="28" t="n">
        <v>1767331075</v>
      </c>
      <c r="I14" s="29" t="n">
        <v>1300395294</v>
      </c>
      <c r="J14" s="28" t="n">
        <v>1367007014</v>
      </c>
      <c r="K14" s="29" t="n">
        <v>920143212</v>
      </c>
      <c r="L14" s="28" t="n">
        <v>831778082</v>
      </c>
      <c r="M14" s="29" t="n">
        <v>1321283533</v>
      </c>
    </row>
    <row r="15" outlineLevel="1" ht="15.75" customHeight="1">
      <c r="A15" s="26" t="inlineStr">
        <is>
          <t>PROGRAMACION GENERACION EXCELENCIA</t>
        </is>
      </c>
      <c r="B15" s="27" t="n"/>
      <c r="C15" s="27" t="n"/>
      <c r="D15" s="28" t="n"/>
      <c r="E15" s="29" t="n"/>
      <c r="F15" s="28" t="n"/>
      <c r="G15" s="29" t="n"/>
      <c r="H15" s="28" t="n">
        <v>0</v>
      </c>
      <c r="I15" s="29" t="n">
        <v>1061548525</v>
      </c>
      <c r="J15" s="28" t="n">
        <v>399871493</v>
      </c>
      <c r="K15" s="29" t="n">
        <v>395605252</v>
      </c>
      <c r="L15" s="28" t="n">
        <v>601918280</v>
      </c>
      <c r="M15" s="29" t="n">
        <v>760649762</v>
      </c>
    </row>
    <row r="16" ht="15.75" customHeight="1">
      <c r="A16" s="22" t="inlineStr">
        <is>
          <t>SERVICIOS ACADÉMICOS POSGRADO</t>
        </is>
      </c>
      <c r="B16" s="23">
        <f>SUM(B17:B17)</f>
        <v/>
      </c>
      <c r="C16" s="23">
        <f>SUM(C17:C17)</f>
        <v/>
      </c>
      <c r="D16" s="24">
        <f>SUM(D17:D17)</f>
        <v/>
      </c>
      <c r="E16" s="25">
        <f>SUM(E17:E17)</f>
        <v/>
      </c>
      <c r="F16" s="24">
        <f>SUM(F17:F17)</f>
        <v/>
      </c>
      <c r="G16" s="25">
        <f>SUM(G17:G17)</f>
        <v/>
      </c>
      <c r="H16" s="24">
        <f>SUM(H17:H17)</f>
        <v/>
      </c>
      <c r="I16" s="25">
        <f>SUM(I17:I17)</f>
        <v/>
      </c>
      <c r="J16" s="24">
        <f>SUM(J17:J17)</f>
        <v/>
      </c>
      <c r="K16" s="25">
        <f>SUM(K17:K17)</f>
        <v/>
      </c>
      <c r="L16" s="24">
        <f>SUM(L17:L17)</f>
        <v/>
      </c>
      <c r="M16" s="25">
        <f>SUM(M17:M17)</f>
        <v/>
      </c>
    </row>
    <row r="17" outlineLevel="1" ht="15.75" customFormat="1" customHeight="1" s="34">
      <c r="A17" s="30" t="inlineStr">
        <is>
          <t>Derechos administrativos de posgrado</t>
        </is>
      </c>
      <c r="B17" s="31" t="n">
        <v>1370266692</v>
      </c>
      <c r="C17" s="31" t="n">
        <v>1377143137</v>
      </c>
      <c r="D17" s="32" t="n">
        <v>1434465471</v>
      </c>
      <c r="E17" s="33" t="n">
        <v>1448881763</v>
      </c>
      <c r="F17" s="32" t="n">
        <v>1524411700</v>
      </c>
      <c r="G17" s="33" t="n">
        <v>1321320547</v>
      </c>
      <c r="H17" s="32" t="n">
        <v>1407056900</v>
      </c>
      <c r="I17" s="33" t="n">
        <v>1242787970</v>
      </c>
      <c r="J17" s="32" t="n">
        <v>1441874688</v>
      </c>
      <c r="K17" s="33" t="n">
        <v>1067470367</v>
      </c>
      <c r="L17" s="32" t="n">
        <v>1267474036</v>
      </c>
      <c r="M17" s="33" t="n">
        <v>1187841488</v>
      </c>
    </row>
    <row r="18" ht="15.75" customHeight="1">
      <c r="A18" s="22" t="inlineStr">
        <is>
          <t>OTROS INGRESOS</t>
        </is>
      </c>
      <c r="B18" s="23">
        <f>SUM(B19:B23)</f>
        <v/>
      </c>
      <c r="C18" s="23">
        <f>SUM(C19:C23)</f>
        <v/>
      </c>
      <c r="D18" s="24">
        <f>SUM(D19:D23)</f>
        <v/>
      </c>
      <c r="E18" s="25">
        <f>SUM(E19:E23)</f>
        <v/>
      </c>
      <c r="F18" s="24">
        <f>SUM(F19:F23)</f>
        <v/>
      </c>
      <c r="G18" s="25">
        <f>SUM(G19:G23)</f>
        <v/>
      </c>
      <c r="H18" s="24">
        <f>SUM(H19:H23)</f>
        <v/>
      </c>
      <c r="I18" s="25">
        <f>SUM(I19:I23)</f>
        <v/>
      </c>
      <c r="J18" s="24">
        <f>SUM(J19:J23)</f>
        <v/>
      </c>
      <c r="K18" s="25">
        <f>SUM(K19:K23)</f>
        <v/>
      </c>
      <c r="L18" s="24">
        <f>SUM(L19:L23)</f>
        <v/>
      </c>
      <c r="M18" s="25">
        <f>SUM(M19:M23)</f>
        <v/>
      </c>
    </row>
    <row r="19" outlineLevel="1" ht="15.75" customHeight="1">
      <c r="A19" s="26" t="inlineStr">
        <is>
          <t>Devolución iva</t>
        </is>
      </c>
      <c r="B19" s="27" t="n">
        <v>2944100400</v>
      </c>
      <c r="C19" s="27" t="n">
        <v>3228464931</v>
      </c>
      <c r="D19" s="28" t="n">
        <v>3319998000</v>
      </c>
      <c r="E19" s="29" t="n">
        <v>3873121821</v>
      </c>
      <c r="F19" s="28" t="n">
        <v>4420000000</v>
      </c>
      <c r="G19" s="29" t="n">
        <v>4736922325</v>
      </c>
      <c r="H19" s="28" t="n">
        <v>3000000000</v>
      </c>
      <c r="I19" s="29" t="n">
        <v>3677388152</v>
      </c>
      <c r="J19" s="28" t="n">
        <v>3179647600</v>
      </c>
      <c r="K19" s="29" t="n">
        <v>3009018522</v>
      </c>
      <c r="L19" s="28" t="n">
        <v>2662134400</v>
      </c>
      <c r="M19" s="29" t="n">
        <v>2839447689</v>
      </c>
    </row>
    <row r="20" outlineLevel="1" ht="15.75" customHeight="1">
      <c r="A20" s="26" t="inlineStr">
        <is>
          <t>Recuperaciones</t>
        </is>
      </c>
      <c r="B20" s="27" t="n">
        <v>30000000</v>
      </c>
      <c r="C20" s="27" t="n">
        <v>23986928</v>
      </c>
      <c r="D20" s="28" t="n">
        <v>15000000</v>
      </c>
      <c r="E20" s="29" t="n">
        <v>22854534</v>
      </c>
      <c r="F20" s="28" t="n">
        <v>16545400</v>
      </c>
      <c r="G20" s="29" t="n">
        <v>23981130</v>
      </c>
      <c r="H20" s="28" t="n">
        <v>22383200</v>
      </c>
      <c r="I20" s="29" t="n">
        <v>73690579</v>
      </c>
      <c r="J20" s="28" t="n">
        <v>22480000</v>
      </c>
      <c r="K20" s="29" t="n">
        <v>171120826</v>
      </c>
      <c r="L20" s="28" t="n">
        <v>0</v>
      </c>
      <c r="M20" s="29" t="n">
        <v>50128659</v>
      </c>
    </row>
    <row r="21" outlineLevel="1" ht="15.75" customHeight="1">
      <c r="A21" s="26" t="inlineStr">
        <is>
          <t>Reintegros de nómina vigencias anteriores</t>
        </is>
      </c>
      <c r="B21" s="27" t="n">
        <v>41000000</v>
      </c>
      <c r="C21" s="27" t="n">
        <v>69637239</v>
      </c>
      <c r="D21" s="28" t="n">
        <v>66158200</v>
      </c>
      <c r="E21" s="29" t="n">
        <v>27159266</v>
      </c>
      <c r="F21" s="28" t="n">
        <v>28721000</v>
      </c>
      <c r="G21" s="29" t="n">
        <v>20358203</v>
      </c>
      <c r="H21" s="28" t="n">
        <v>20010000</v>
      </c>
      <c r="I21" s="29" t="n">
        <v>27082505</v>
      </c>
      <c r="J21" s="28" t="n">
        <v>110000000</v>
      </c>
      <c r="K21" s="29" t="n">
        <v>386068209</v>
      </c>
      <c r="L21" s="28" t="n">
        <v>245232853</v>
      </c>
      <c r="M21" s="29" t="n">
        <v>284374001</v>
      </c>
    </row>
    <row r="22" outlineLevel="1" ht="15.75" customHeight="1">
      <c r="A22" s="26" t="inlineStr">
        <is>
          <t>Otros</t>
        </is>
      </c>
      <c r="B22" s="27" t="n">
        <v>17000000</v>
      </c>
      <c r="C22" s="27" t="n">
        <v>22846019</v>
      </c>
      <c r="D22" s="28" t="n">
        <v>10000000</v>
      </c>
      <c r="E22" s="29" t="n">
        <v>226592088</v>
      </c>
      <c r="F22" s="28" t="n">
        <v>10575000</v>
      </c>
      <c r="G22" s="29" t="n">
        <v>23539139</v>
      </c>
      <c r="H22" s="28" t="n">
        <v>20988300</v>
      </c>
      <c r="I22" s="29" t="n">
        <v>18842975</v>
      </c>
      <c r="J22" s="28" t="n">
        <v>20000000</v>
      </c>
      <c r="K22" s="29" t="n">
        <v>21599295</v>
      </c>
      <c r="L22" s="28" t="n">
        <v>0</v>
      </c>
      <c r="M22" s="29" t="n">
        <v>397482976</v>
      </c>
    </row>
    <row r="23" outlineLevel="1" ht="15.75" customHeight="1">
      <c r="A23" s="26" t="inlineStr">
        <is>
          <t>Sanciones a funcionarios</t>
        </is>
      </c>
      <c r="B23" s="27" t="n"/>
      <c r="C23" s="27" t="n"/>
      <c r="D23" s="28" t="n"/>
      <c r="E23" s="29" t="n"/>
      <c r="F23" s="28" t="n"/>
      <c r="G23" s="29" t="n"/>
      <c r="H23" s="28" t="n"/>
      <c r="I23" s="29" t="n"/>
      <c r="J23" s="28" t="n"/>
      <c r="K23" s="29" t="n"/>
      <c r="L23" s="28" t="n">
        <v>0</v>
      </c>
      <c r="M23" s="29" t="n">
        <v>445551</v>
      </c>
    </row>
    <row r="24" ht="15.75" customHeight="1">
      <c r="A24" s="22" t="inlineStr">
        <is>
          <t>TRANSFERENCIAS OPERACIONES INTERNAS SIN CONTRAPRESTACIÓN</t>
        </is>
      </c>
      <c r="B24" s="23">
        <f>SUM(B25:B26)</f>
        <v/>
      </c>
      <c r="C24" s="23">
        <f>SUM(C25:C26)</f>
        <v/>
      </c>
      <c r="D24" s="24">
        <f>SUM(D25:D26)</f>
        <v/>
      </c>
      <c r="E24" s="25">
        <f>SUM(E25:E26)</f>
        <v/>
      </c>
      <c r="F24" s="24">
        <f>SUM(F25:F26)</f>
        <v/>
      </c>
      <c r="G24" s="25">
        <f>SUM(G25:G26)</f>
        <v/>
      </c>
      <c r="H24" s="24">
        <f>SUM(H25:H26)</f>
        <v/>
      </c>
      <c r="I24" s="25">
        <f>SUM(I25:I26)</f>
        <v/>
      </c>
      <c r="J24" s="24">
        <f>SUM(J25:J26)</f>
        <v/>
      </c>
      <c r="K24" s="25">
        <f>SUM(K25:K26)</f>
        <v/>
      </c>
      <c r="L24" s="24">
        <f>SUM(L25:L26)</f>
        <v/>
      </c>
      <c r="M24" s="25">
        <f>SUM(M25:M26)</f>
        <v/>
      </c>
    </row>
    <row r="25" outlineLevel="1" ht="15.75" customHeight="1">
      <c r="A25" s="26" t="inlineStr">
        <is>
          <t>Transferencias o.i  fondo de investigación - ugi</t>
        </is>
      </c>
      <c r="B25" s="27" t="n">
        <v>561405180</v>
      </c>
      <c r="C25" s="27" t="n">
        <v>561405180</v>
      </c>
      <c r="D25" s="32" t="n">
        <v>1259036441</v>
      </c>
      <c r="E25" s="33" t="n">
        <v>1259036441</v>
      </c>
      <c r="F25" s="32" t="n">
        <v>1804807098</v>
      </c>
      <c r="G25" s="33" t="n">
        <v>1804807098</v>
      </c>
      <c r="H25" s="32" t="n">
        <v>40000000</v>
      </c>
      <c r="I25" s="33" t="n">
        <v>40000000</v>
      </c>
      <c r="J25" s="32" t="n">
        <v>1624000000</v>
      </c>
      <c r="K25" s="33" t="n">
        <v>1624000000</v>
      </c>
      <c r="L25" s="32" t="n">
        <v>1210896640</v>
      </c>
      <c r="M25" s="33" t="n">
        <v>1210896640</v>
      </c>
    </row>
    <row r="26" outlineLevel="1" ht="15.75" customHeight="1">
      <c r="A26" s="26" t="inlineStr">
        <is>
          <t>Transferencias o.i. costos indirectos</t>
        </is>
      </c>
      <c r="B26" s="27" t="n">
        <v>262899000</v>
      </c>
      <c r="C26" s="27" t="n">
        <v>317966061</v>
      </c>
      <c r="D26" s="32" t="n">
        <v>426658921</v>
      </c>
      <c r="E26" s="33" t="n">
        <v>322359188</v>
      </c>
      <c r="F26" s="32" t="n">
        <v>502649200</v>
      </c>
      <c r="G26" s="33" t="n">
        <v>384819680</v>
      </c>
      <c r="H26" s="32" t="n">
        <v>282367700</v>
      </c>
      <c r="I26" s="33" t="n">
        <v>326832184</v>
      </c>
      <c r="J26" s="32" t="n">
        <v>283894400</v>
      </c>
      <c r="K26" s="33" t="n">
        <v>538642139</v>
      </c>
      <c r="L26" s="32" t="n">
        <v>361663846</v>
      </c>
      <c r="M26" s="33" t="n">
        <v>353227484</v>
      </c>
    </row>
    <row r="27" ht="15.75" customHeight="1">
      <c r="A27" s="18" t="inlineStr">
        <is>
          <t>2. Recursos de capital</t>
        </is>
      </c>
      <c r="B27" s="19">
        <f>+B28+B30+B32+B41</f>
        <v/>
      </c>
      <c r="C27" s="19">
        <f>+C28+C30+C32+C41</f>
        <v/>
      </c>
      <c r="D27" s="20">
        <f>+D28+D30+D32+D41</f>
        <v/>
      </c>
      <c r="E27" s="21">
        <f>+E28+E30+E32+E41</f>
        <v/>
      </c>
      <c r="F27" s="20">
        <f>+F28+F30+F32+F41</f>
        <v/>
      </c>
      <c r="G27" s="21">
        <f>+G28+G30+G32+G41</f>
        <v/>
      </c>
      <c r="H27" s="20">
        <f>+H28+H30+H32+H41</f>
        <v/>
      </c>
      <c r="I27" s="21">
        <f>+I28+I30+I32+I41</f>
        <v/>
      </c>
      <c r="J27" s="20">
        <f>+J28+J30+J32+J41</f>
        <v/>
      </c>
      <c r="K27" s="21">
        <f>+K28+K30+K32+K41</f>
        <v/>
      </c>
      <c r="L27" s="20">
        <f>+L28+L30+L32+L41</f>
        <v/>
      </c>
      <c r="M27" s="21">
        <f>+M28+M30+M32+M41</f>
        <v/>
      </c>
    </row>
    <row r="28" ht="15.75" customHeight="1">
      <c r="A28" s="22" t="inlineStr">
        <is>
          <t>RENDIMIENTOS FINANCIEROS</t>
        </is>
      </c>
      <c r="B28" s="23">
        <f>SUM(B29:B29)</f>
        <v/>
      </c>
      <c r="C28" s="23">
        <f>SUM(C29:C29)</f>
        <v/>
      </c>
      <c r="D28" s="24">
        <f>SUM(D29:D29)</f>
        <v/>
      </c>
      <c r="E28" s="25">
        <f>SUM(E29:E29)</f>
        <v/>
      </c>
      <c r="F28" s="24">
        <f>SUM(F29:F29)</f>
        <v/>
      </c>
      <c r="G28" s="25">
        <f>SUM(G29:G29)</f>
        <v/>
      </c>
      <c r="H28" s="24">
        <f>SUM(H29:H29)</f>
        <v/>
      </c>
      <c r="I28" s="25">
        <f>SUM(I29:I29)</f>
        <v/>
      </c>
      <c r="J28" s="24">
        <f>SUM(J29:J29)</f>
        <v/>
      </c>
      <c r="K28" s="25">
        <f>SUM(K29:K29)</f>
        <v/>
      </c>
      <c r="L28" s="24">
        <f>SUM(L29:L29)</f>
        <v/>
      </c>
      <c r="M28" s="25">
        <f>SUM(M29:M29)</f>
        <v/>
      </c>
    </row>
    <row r="29" outlineLevel="1" ht="15.75" customHeight="1">
      <c r="A29" s="30" t="inlineStr">
        <is>
          <t>Rendimientos  entidades financieras</t>
        </is>
      </c>
      <c r="B29" s="31" t="n">
        <v>1222320000</v>
      </c>
      <c r="C29" s="31" t="n">
        <v>1321888775</v>
      </c>
      <c r="D29" s="32" t="n">
        <v>712607500</v>
      </c>
      <c r="E29" s="33" t="n">
        <v>1231173056</v>
      </c>
      <c r="F29" s="32" t="n">
        <v>1000000000</v>
      </c>
      <c r="G29" s="33" t="n">
        <v>1179220693</v>
      </c>
      <c r="H29" s="32" t="n">
        <v>1100000000</v>
      </c>
      <c r="I29" s="33" t="n">
        <v>792325078</v>
      </c>
      <c r="J29" s="32" t="n">
        <v>750000000</v>
      </c>
      <c r="K29" s="33" t="n">
        <v>781445834</v>
      </c>
      <c r="L29" s="32" t="n">
        <v>490000000</v>
      </c>
      <c r="M29" s="33" t="n">
        <v>599525969</v>
      </c>
    </row>
    <row r="30" ht="15.75" customHeight="1">
      <c r="A30" s="22" t="inlineStr">
        <is>
          <t>VENTA DE ACTIVOS</t>
        </is>
      </c>
      <c r="B30" s="23">
        <f>SUM(B31:B31)</f>
        <v/>
      </c>
      <c r="C30" s="23">
        <f>SUM(C31:C31)</f>
        <v/>
      </c>
      <c r="D30" s="24">
        <f>SUM(D31:D31)</f>
        <v/>
      </c>
      <c r="E30" s="25">
        <f>SUM(E31:E31)</f>
        <v/>
      </c>
      <c r="F30" s="24">
        <f>SUM(F31:F31)</f>
        <v/>
      </c>
      <c r="G30" s="25">
        <f>SUM(G31:G31)</f>
        <v/>
      </c>
      <c r="H30" s="24" t="n"/>
      <c r="I30" s="25" t="n"/>
      <c r="J30" s="24" t="n"/>
      <c r="K30" s="25" t="n"/>
      <c r="L30" s="24" t="n"/>
      <c r="M30" s="25" t="n"/>
    </row>
    <row r="31" outlineLevel="1" ht="15.75" customHeight="1">
      <c r="A31" s="30" t="inlineStr">
        <is>
          <t>Venta de activos - inmuebles</t>
        </is>
      </c>
      <c r="B31" s="31" t="n">
        <v>3774415500</v>
      </c>
      <c r="C31" s="31" t="n">
        <v>3774412500</v>
      </c>
      <c r="D31" s="32" t="n">
        <v>0</v>
      </c>
      <c r="E31" s="33" t="n">
        <v>2087533183</v>
      </c>
      <c r="F31" s="32" t="n">
        <v>521883296</v>
      </c>
      <c r="G31" s="33" t="n">
        <v>521883296</v>
      </c>
      <c r="H31" s="32" t="n"/>
      <c r="I31" s="33" t="n"/>
      <c r="J31" s="32" t="n"/>
      <c r="K31" s="33" t="n"/>
      <c r="L31" s="32" t="n"/>
      <c r="M31" s="33" t="n"/>
    </row>
    <row r="32" ht="15.75" customHeight="1">
      <c r="A32" s="22" t="inlineStr">
        <is>
          <t>EXCEDENTES FINANCIEROS</t>
        </is>
      </c>
      <c r="B32" s="23">
        <f>SUM(B33:B40)</f>
        <v/>
      </c>
      <c r="C32" s="23">
        <f>SUM(C33:C40)</f>
        <v/>
      </c>
      <c r="D32" s="24">
        <f>SUM(D33:D40)</f>
        <v/>
      </c>
      <c r="E32" s="25">
        <f>SUM(E33:E40)</f>
        <v/>
      </c>
      <c r="F32" s="24">
        <f>SUM(F33:F40)</f>
        <v/>
      </c>
      <c r="G32" s="25">
        <f>SUM(G33:G40)</f>
        <v/>
      </c>
      <c r="H32" s="24">
        <f>SUM(H33:H40)</f>
        <v/>
      </c>
      <c r="I32" s="25">
        <f>SUM(I33:I40)</f>
        <v/>
      </c>
      <c r="J32" s="24">
        <f>SUM(J33:J40)</f>
        <v/>
      </c>
      <c r="K32" s="25">
        <f>SUM(K33:K40)</f>
        <v/>
      </c>
      <c r="L32" s="24">
        <f>SUM(L33:L40)</f>
        <v/>
      </c>
      <c r="M32" s="25">
        <f>SUM(M33:M40)</f>
        <v/>
      </c>
    </row>
    <row r="33" outlineLevel="1" ht="15.75" customHeight="1">
      <c r="A33" s="26" t="inlineStr">
        <is>
          <t>Excedentes financieros -  gestión general</t>
        </is>
      </c>
      <c r="B33" s="27" t="n">
        <v>6245327708</v>
      </c>
      <c r="C33" s="27" t="n">
        <v>6245327708</v>
      </c>
      <c r="D33" s="28" t="n">
        <v>4618989068</v>
      </c>
      <c r="E33" s="29" t="n">
        <v>4618989068</v>
      </c>
      <c r="F33" s="28" t="n">
        <v>5042556384</v>
      </c>
      <c r="G33" s="29" t="n">
        <v>5042556384</v>
      </c>
      <c r="H33" s="28" t="n">
        <v>4405165115</v>
      </c>
      <c r="I33" s="29" t="n">
        <v>4405165115</v>
      </c>
      <c r="J33" s="28" t="n">
        <v>10800758231</v>
      </c>
      <c r="K33" s="29" t="n">
        <v>10800758231</v>
      </c>
      <c r="L33" s="28" t="n">
        <v>11640387524</v>
      </c>
      <c r="M33" s="29" t="n">
        <v>11640387524</v>
      </c>
    </row>
    <row r="34" outlineLevel="1" ht="15.75" customHeight="1">
      <c r="A34" s="26" t="inlineStr">
        <is>
          <t>Excedentes financieros - ugi nivel nacional</t>
        </is>
      </c>
      <c r="B34" s="27" t="n">
        <v>72111068</v>
      </c>
      <c r="C34" s="27" t="n">
        <v>72111068</v>
      </c>
      <c r="D34" s="28" t="n">
        <v>94200000</v>
      </c>
      <c r="E34" s="29" t="n">
        <v>94200000</v>
      </c>
      <c r="F34" s="28" t="n"/>
      <c r="G34" s="29" t="n"/>
      <c r="H34" s="28" t="n">
        <v>178000000</v>
      </c>
      <c r="I34" s="29" t="n">
        <v>178000000</v>
      </c>
      <c r="J34" s="28" t="n"/>
      <c r="K34" s="29" t="n"/>
      <c r="L34" s="28" t="n"/>
      <c r="M34" s="29" t="n"/>
    </row>
    <row r="35" outlineLevel="1" ht="15.75" customHeight="1">
      <c r="A35" s="26" t="inlineStr">
        <is>
          <t>Excedentes financieros - matrículas pregrado recibidas por anticipado</t>
        </is>
      </c>
      <c r="B35" s="27" t="n">
        <v>3348444881</v>
      </c>
      <c r="C35" s="27" t="n">
        <v>3348444881</v>
      </c>
      <c r="D35" s="28" t="n">
        <v>3376805729</v>
      </c>
      <c r="E35" s="29" t="n">
        <v>3376805729</v>
      </c>
      <c r="F35" s="28" t="n">
        <v>3698439154</v>
      </c>
      <c r="G35" s="29" t="n">
        <v>3698439154</v>
      </c>
      <c r="H35" s="28" t="n"/>
      <c r="I35" s="29" t="n"/>
      <c r="J35" s="28" t="n"/>
      <c r="K35" s="29" t="n"/>
      <c r="L35" s="28" t="n"/>
      <c r="M35" s="29" t="n"/>
    </row>
    <row r="36" outlineLevel="1" ht="15.75" customHeight="1">
      <c r="A36" s="26" t="inlineStr">
        <is>
          <t>Excedentes financieros - sistematización pregrado recibido por anticipado</t>
        </is>
      </c>
      <c r="B36" s="27" t="n">
        <v>356949619</v>
      </c>
      <c r="C36" s="27" t="n">
        <v>356949619</v>
      </c>
      <c r="D36" s="28" t="n">
        <v>375582932</v>
      </c>
      <c r="E36" s="29" t="n">
        <v>375582932</v>
      </c>
      <c r="F36" s="28" t="n">
        <v>396368935</v>
      </c>
      <c r="G36" s="29" t="n">
        <v>396368935</v>
      </c>
      <c r="H36" s="28" t="n"/>
      <c r="I36" s="29" t="n"/>
      <c r="J36" s="28" t="n"/>
      <c r="K36" s="29" t="n"/>
      <c r="L36" s="28" t="n"/>
      <c r="M36" s="29" t="n"/>
    </row>
    <row r="37" outlineLevel="1" ht="15.75" customHeight="1">
      <c r="A37" s="26" t="inlineStr">
        <is>
          <t>Excedentes financieros - bienestar pregrado recibido por anticipado</t>
        </is>
      </c>
      <c r="B37" s="27" t="n">
        <v>555696451</v>
      </c>
      <c r="C37" s="27" t="n">
        <v>555696451</v>
      </c>
      <c r="D37" s="28" t="n">
        <v>573319857</v>
      </c>
      <c r="E37" s="29" t="n">
        <v>573319857</v>
      </c>
      <c r="F37" s="28" t="n">
        <v>628751322</v>
      </c>
      <c r="G37" s="29" t="n">
        <v>628751322</v>
      </c>
      <c r="H37" s="28" t="n"/>
      <c r="I37" s="29" t="n"/>
      <c r="J37" s="28" t="n"/>
      <c r="K37" s="29" t="n"/>
      <c r="L37" s="28" t="n"/>
      <c r="M37" s="29" t="n"/>
    </row>
    <row r="38" outlineLevel="1" ht="15.75" customHeight="1">
      <c r="A38" s="26" t="inlineStr">
        <is>
          <t>Excedentes financieros - nivel nacional</t>
        </is>
      </c>
      <c r="B38" s="27" t="n"/>
      <c r="C38" s="27" t="n"/>
      <c r="D38" s="28" t="n">
        <v>1331337134</v>
      </c>
      <c r="E38" s="29" t="n">
        <v>1331337134</v>
      </c>
      <c r="F38" s="28" t="n">
        <v>40472385</v>
      </c>
      <c r="G38" s="29" t="n">
        <v>40472385</v>
      </c>
      <c r="H38" s="28" t="n"/>
      <c r="I38" s="29" t="n"/>
      <c r="J38" s="28" t="n"/>
      <c r="K38" s="29" t="n"/>
      <c r="L38" s="28" t="n"/>
      <c r="M38" s="29" t="n"/>
    </row>
    <row r="39" outlineLevel="1" ht="15.75" customHeight="1">
      <c r="A39" s="26" t="inlineStr">
        <is>
          <t>EXCEDENTE FINANCIERO - SER PILO PAGA</t>
        </is>
      </c>
      <c r="B39" s="27" t="n"/>
      <c r="C39" s="27" t="n"/>
      <c r="D39" s="28" t="n">
        <v>215506101</v>
      </c>
      <c r="E39" s="29" t="n">
        <v>215506101</v>
      </c>
      <c r="F39" s="28" t="n">
        <v>745503204</v>
      </c>
      <c r="G39" s="29" t="n">
        <v>745503204</v>
      </c>
      <c r="H39" s="28" t="n"/>
      <c r="I39" s="29" t="n"/>
      <c r="J39" s="28" t="n"/>
      <c r="K39" s="29" t="n"/>
      <c r="L39" s="28" t="n">
        <v>896532274</v>
      </c>
      <c r="M39" s="29" t="n">
        <v>896532274</v>
      </c>
    </row>
    <row r="40" outlineLevel="1" ht="15.75" customHeight="1">
      <c r="A40" s="26" t="inlineStr">
        <is>
          <t>EXCEDENTE FINANCIERO - GENERACION EXCELENCIA</t>
        </is>
      </c>
      <c r="B40" s="27" t="n"/>
      <c r="C40" s="27" t="n"/>
      <c r="D40" s="28" t="n"/>
      <c r="E40" s="29" t="n"/>
      <c r="F40" s="28" t="n"/>
      <c r="G40" s="29" t="n"/>
      <c r="H40" s="28" t="n"/>
      <c r="I40" s="29" t="n"/>
      <c r="J40" s="28" t="n">
        <v>1061548525</v>
      </c>
      <c r="K40" s="29" t="n">
        <v>1061548525</v>
      </c>
      <c r="L40" s="28" t="n">
        <v>501760153</v>
      </c>
      <c r="M40" s="29" t="n">
        <v>501760153</v>
      </c>
    </row>
    <row r="41" ht="15.75" customHeight="1">
      <c r="A41" s="22" t="inlineStr">
        <is>
          <t>RECUPERACIÓN DE CARTERA</t>
        </is>
      </c>
      <c r="B41" s="23">
        <f>SUM(B42:B43)</f>
        <v/>
      </c>
      <c r="C41" s="23">
        <f>SUM(C42:C43)</f>
        <v/>
      </c>
      <c r="D41" s="24">
        <f>SUM(D42:D43)</f>
        <v/>
      </c>
      <c r="E41" s="25">
        <f>SUM(E42:E43)</f>
        <v/>
      </c>
      <c r="F41" s="24">
        <f>SUM(F42:F43)</f>
        <v/>
      </c>
      <c r="G41" s="25">
        <f>SUM(G42:G43)</f>
        <v/>
      </c>
      <c r="H41" s="24">
        <f>SUM(H42:H43)</f>
        <v/>
      </c>
      <c r="I41" s="25">
        <f>SUM(I42:I43)</f>
        <v/>
      </c>
      <c r="J41" s="24">
        <f>SUM(J42:J43)</f>
        <v/>
      </c>
      <c r="K41" s="25">
        <f>SUM(K42:K43)</f>
        <v/>
      </c>
      <c r="L41" s="24">
        <f>SUM(L42:L43)</f>
        <v/>
      </c>
      <c r="M41" s="25">
        <f>SUM(M42:M43)</f>
        <v/>
      </c>
    </row>
    <row r="42" outlineLevel="1" ht="15.75" customHeight="1">
      <c r="A42" s="61" t="inlineStr">
        <is>
          <t>Recuperación de cartera - préstamo estudiantes</t>
        </is>
      </c>
      <c r="B42" s="31" t="n">
        <v>183000000</v>
      </c>
      <c r="C42" s="31" t="n">
        <v>231986217</v>
      </c>
      <c r="D42" s="32" t="n">
        <v>160000000</v>
      </c>
      <c r="E42" s="33" t="n">
        <v>222441004</v>
      </c>
      <c r="F42" s="32" t="n">
        <v>180000000</v>
      </c>
      <c r="G42" s="33" t="n">
        <v>149670819</v>
      </c>
      <c r="H42" s="32" t="n">
        <v>113556000</v>
      </c>
      <c r="I42" s="33" t="n">
        <v>127671541</v>
      </c>
      <c r="J42" s="32" t="n">
        <v>98400000</v>
      </c>
      <c r="K42" s="33" t="n">
        <v>64462469</v>
      </c>
      <c r="L42" s="32" t="n">
        <v>35000000</v>
      </c>
      <c r="M42" s="33" t="n">
        <v>90013831</v>
      </c>
    </row>
    <row r="43" outlineLevel="1" ht="15.75" customHeight="1">
      <c r="A43" s="30" t="inlineStr">
        <is>
          <t>Recuperación de cartera - otras deudas</t>
        </is>
      </c>
      <c r="B43" s="31" t="n">
        <v>0</v>
      </c>
      <c r="C43" s="31" t="n">
        <v>2473549</v>
      </c>
      <c r="D43" s="28" t="n"/>
      <c r="E43" s="29" t="n"/>
      <c r="F43" s="28" t="n"/>
      <c r="G43" s="29" t="n"/>
      <c r="H43" s="28" t="n">
        <v>0</v>
      </c>
      <c r="I43" s="29" t="n">
        <v>1538645</v>
      </c>
      <c r="J43" s="28" t="n"/>
      <c r="K43" s="29" t="n"/>
      <c r="L43" s="28" t="n"/>
      <c r="M43" s="29" t="n"/>
    </row>
    <row r="44" ht="15.75" customHeight="1">
      <c r="A44" s="35" t="inlineStr">
        <is>
          <t xml:space="preserve">II. Contribuciones parafiscales </t>
        </is>
      </c>
      <c r="B44" s="36">
        <f>+B45</f>
        <v/>
      </c>
      <c r="C44" s="36">
        <f>+C45</f>
        <v/>
      </c>
      <c r="D44" s="37">
        <f>+D45</f>
        <v/>
      </c>
      <c r="E44" s="38">
        <f>+E45</f>
        <v/>
      </c>
      <c r="F44" s="37">
        <f>+F45</f>
        <v/>
      </c>
      <c r="G44" s="38">
        <f>+G45</f>
        <v/>
      </c>
      <c r="H44" s="37">
        <f>+H45</f>
        <v/>
      </c>
      <c r="I44" s="38">
        <f>+I45</f>
        <v/>
      </c>
      <c r="J44" s="37">
        <f>+J45</f>
        <v/>
      </c>
      <c r="K44" s="38">
        <f>+K45</f>
        <v/>
      </c>
      <c r="L44" s="37">
        <f>+L45</f>
        <v/>
      </c>
      <c r="M44" s="38">
        <f>+M45</f>
        <v/>
      </c>
    </row>
    <row r="45" ht="15.75" customHeight="1">
      <c r="A45" s="39" t="inlineStr">
        <is>
          <t>ESTAMPILLAS</t>
        </is>
      </c>
      <c r="B45" s="40">
        <f>SUM(B46:B46)</f>
        <v/>
      </c>
      <c r="C45" s="40">
        <f>SUM(C46:C46)</f>
        <v/>
      </c>
      <c r="D45" s="41">
        <f>SUM(D46:D46)</f>
        <v/>
      </c>
      <c r="E45" s="42">
        <f>SUM(E46:E46)</f>
        <v/>
      </c>
      <c r="F45" s="41">
        <f>SUM(F46:F46)</f>
        <v/>
      </c>
      <c r="G45" s="42">
        <f>SUM(G46:G46)</f>
        <v/>
      </c>
      <c r="H45" s="41">
        <f>SUM(H46:H46)</f>
        <v/>
      </c>
      <c r="I45" s="42">
        <f>SUM(I46:I46)</f>
        <v/>
      </c>
      <c r="J45" s="41">
        <f>SUM(J46:J46)</f>
        <v/>
      </c>
      <c r="K45" s="42">
        <f>SUM(K46:K46)</f>
        <v/>
      </c>
      <c r="L45" s="41">
        <f>SUM(L46:L46)</f>
        <v/>
      </c>
      <c r="M45" s="42">
        <f>SUM(M46:M46)</f>
        <v/>
      </c>
    </row>
    <row r="46" outlineLevel="1" ht="15.75" customFormat="1" customHeight="1" s="34">
      <c r="A46" s="43" t="inlineStr">
        <is>
          <t>Estampilla pro universidad nacional de colombia</t>
        </is>
      </c>
      <c r="B46" s="27" t="n">
        <v>3471000000</v>
      </c>
      <c r="C46" s="27" t="n">
        <v>1500000000</v>
      </c>
      <c r="D46" s="28" t="n">
        <v>9914567539</v>
      </c>
      <c r="E46" s="29" t="n">
        <v>9914567539</v>
      </c>
      <c r="F46" s="28" t="n">
        <v>4000000000</v>
      </c>
      <c r="G46" s="29" t="n">
        <v>4000000000</v>
      </c>
      <c r="H46" s="28" t="n">
        <v>11399950114</v>
      </c>
      <c r="I46" s="29" t="n">
        <v>11399950114</v>
      </c>
      <c r="J46" s="28" t="n">
        <v>8266550674</v>
      </c>
      <c r="K46" s="29" t="n">
        <v>8266550674</v>
      </c>
      <c r="L46" s="28" t="n">
        <v>10534200000</v>
      </c>
      <c r="M46" s="29" t="n">
        <v>10534200000</v>
      </c>
    </row>
    <row r="47" ht="15.75" customHeight="1">
      <c r="A47" s="35" t="inlineStr">
        <is>
          <t>III. Aportes Nación</t>
        </is>
      </c>
      <c r="B47" s="36">
        <f>+B48+B50</f>
        <v/>
      </c>
      <c r="C47" s="36">
        <f>+C48+C50</f>
        <v/>
      </c>
      <c r="D47" s="37">
        <f>+D48+D50</f>
        <v/>
      </c>
      <c r="E47" s="38">
        <f>+E48+E50</f>
        <v/>
      </c>
      <c r="F47" s="37">
        <f>+F48+F50</f>
        <v/>
      </c>
      <c r="G47" s="38">
        <f>+G48+G50</f>
        <v/>
      </c>
      <c r="H47" s="37">
        <f>+H48+H50</f>
        <v/>
      </c>
      <c r="I47" s="38">
        <f>+I48+I50</f>
        <v/>
      </c>
      <c r="J47" s="37">
        <f>+J48+J50</f>
        <v/>
      </c>
      <c r="K47" s="38">
        <f>+K48+K50</f>
        <v/>
      </c>
      <c r="L47" s="37">
        <f>+L48+L50</f>
        <v/>
      </c>
      <c r="M47" s="38">
        <f>+M48+M50</f>
        <v/>
      </c>
    </row>
    <row r="48" ht="15.75" customHeight="1">
      <c r="A48" s="39" t="inlineStr">
        <is>
          <t>FUNCIONAMIENTO</t>
        </is>
      </c>
      <c r="B48" s="40">
        <f>SUM(B49:B49)</f>
        <v/>
      </c>
      <c r="C48" s="40">
        <f>SUM(C49:C49)</f>
        <v/>
      </c>
      <c r="D48" s="41">
        <f>SUM(D49:D49)</f>
        <v/>
      </c>
      <c r="E48" s="42">
        <f>SUM(E49:E49)</f>
        <v/>
      </c>
      <c r="F48" s="41">
        <f>SUM(F49:F49)</f>
        <v/>
      </c>
      <c r="G48" s="42">
        <f>SUM(G49:G49)</f>
        <v/>
      </c>
      <c r="H48" s="41">
        <f>SUM(H49:H49)</f>
        <v/>
      </c>
      <c r="I48" s="42">
        <f>SUM(I49:I49)</f>
        <v/>
      </c>
      <c r="J48" s="41">
        <f>SUM(J49:J49)</f>
        <v/>
      </c>
      <c r="K48" s="42">
        <f>SUM(K49:K49)</f>
        <v/>
      </c>
      <c r="L48" s="41">
        <f>SUM(L49:L49)</f>
        <v/>
      </c>
      <c r="M48" s="42">
        <f>SUM(M49:M49)</f>
        <v/>
      </c>
    </row>
    <row r="49" outlineLevel="1" ht="15.75" customFormat="1" customHeight="1" s="34">
      <c r="A49" s="26" t="inlineStr">
        <is>
          <t>Gastos de personal</t>
        </is>
      </c>
      <c r="B49" s="31" t="n">
        <v>111316331213</v>
      </c>
      <c r="C49" s="31" t="n">
        <v>111316331213</v>
      </c>
      <c r="D49" s="32" t="n">
        <v>126924515149</v>
      </c>
      <c r="E49" s="33" t="n">
        <v>126924515149</v>
      </c>
      <c r="F49" s="32" t="n">
        <v>132425429493</v>
      </c>
      <c r="G49" s="33" t="n">
        <v>132425429493</v>
      </c>
      <c r="H49" s="32" t="n">
        <v>141607145340</v>
      </c>
      <c r="I49" s="33" t="n">
        <v>141607145340</v>
      </c>
      <c r="J49" s="32" t="n">
        <v>149438451907</v>
      </c>
      <c r="K49" s="33" t="n">
        <v>149438451907</v>
      </c>
      <c r="L49" s="32" t="n">
        <v>155075079247</v>
      </c>
      <c r="M49" s="33" t="n">
        <v>155075079247</v>
      </c>
    </row>
    <row r="50" ht="15.75" customHeight="1">
      <c r="A50" s="22" t="inlineStr">
        <is>
          <t>INVERSIÓN</t>
        </is>
      </c>
      <c r="B50" s="40">
        <f>SUM(B51:B51)</f>
        <v/>
      </c>
      <c r="C50" s="40">
        <f>SUM(C51:C51)</f>
        <v/>
      </c>
      <c r="D50" s="41">
        <f>SUM(D51:D51)</f>
        <v/>
      </c>
      <c r="E50" s="42">
        <f>SUM(E51:E51)</f>
        <v/>
      </c>
      <c r="F50" s="41">
        <f>SUM(F51:F51)</f>
        <v/>
      </c>
      <c r="G50" s="42">
        <f>SUM(G51:G51)</f>
        <v/>
      </c>
      <c r="H50" s="41">
        <f>SUM(H51:H51)</f>
        <v/>
      </c>
      <c r="I50" s="42">
        <f>SUM(I51:I51)</f>
        <v/>
      </c>
      <c r="J50" s="41">
        <f>SUM(J51:J51)</f>
        <v/>
      </c>
      <c r="K50" s="42">
        <f>SUM(K51:K51)</f>
        <v/>
      </c>
      <c r="L50" s="41">
        <f>SUM(L51:L51)</f>
        <v/>
      </c>
      <c r="M50" s="42">
        <f>SUM(M51:M51)</f>
        <v/>
      </c>
    </row>
    <row r="51" outlineLevel="1" ht="15.75" customFormat="1" customHeight="1" s="34">
      <c r="A51" s="26" t="inlineStr">
        <is>
          <t>Inversión</t>
        </is>
      </c>
      <c r="B51" s="31" t="n">
        <v>3156313000</v>
      </c>
      <c r="C51" s="31" t="n">
        <v>3156313000</v>
      </c>
      <c r="D51" s="32" t="n">
        <v>4659526465</v>
      </c>
      <c r="E51" s="33" t="n">
        <v>4659526465</v>
      </c>
      <c r="F51" s="32" t="n">
        <v>5728894070</v>
      </c>
      <c r="G51" s="33" t="n">
        <v>5728894070</v>
      </c>
      <c r="H51" s="32" t="n">
        <v>1222459906</v>
      </c>
      <c r="I51" s="33" t="n">
        <v>1222459906</v>
      </c>
      <c r="J51" s="32" t="n">
        <v>3699237760</v>
      </c>
      <c r="K51" s="33" t="n">
        <v>3699237760</v>
      </c>
      <c r="L51" s="32" t="n">
        <v>4511161697</v>
      </c>
      <c r="M51" s="33" t="n">
        <v>4511161697</v>
      </c>
    </row>
    <row r="52" ht="15.75" customHeight="1">
      <c r="A52" s="44" t="inlineStr">
        <is>
          <t>- FONDOS ESPECIALES</t>
        </is>
      </c>
      <c r="B52" s="45">
        <f>+B53</f>
        <v/>
      </c>
      <c r="C52" s="45">
        <f>+C53</f>
        <v/>
      </c>
      <c r="D52" s="69">
        <f>+D53</f>
        <v/>
      </c>
      <c r="E52" s="47">
        <f>+E53</f>
        <v/>
      </c>
      <c r="F52" s="69">
        <f>+F53</f>
        <v/>
      </c>
      <c r="G52" s="70">
        <f>+G53</f>
        <v/>
      </c>
      <c r="H52" s="69">
        <f>+H53</f>
        <v/>
      </c>
      <c r="I52" s="70">
        <f>+I53</f>
        <v/>
      </c>
      <c r="J52" s="69">
        <f>+J53</f>
        <v/>
      </c>
      <c r="K52" s="70">
        <f>+K53</f>
        <v/>
      </c>
      <c r="L52" s="69">
        <f>+L53</f>
        <v/>
      </c>
      <c r="M52" s="70">
        <f>+M53</f>
        <v/>
      </c>
    </row>
    <row r="53" ht="15.75" customHeight="1">
      <c r="A53" s="48" t="inlineStr">
        <is>
          <t xml:space="preserve">I. Recursos propios </t>
        </is>
      </c>
      <c r="B53" s="49">
        <f>+B54+B129</f>
        <v/>
      </c>
      <c r="C53" s="49">
        <f>+C54+C129</f>
        <v/>
      </c>
      <c r="D53" s="71">
        <f>+D54+D129</f>
        <v/>
      </c>
      <c r="E53" s="51">
        <f>+E54+E129</f>
        <v/>
      </c>
      <c r="F53" s="71">
        <f>+F54+F129</f>
        <v/>
      </c>
      <c r="G53" s="72">
        <f>+G54+G129</f>
        <v/>
      </c>
      <c r="H53" s="71">
        <f>+H54+H129</f>
        <v/>
      </c>
      <c r="I53" s="72">
        <f>+I54+I129</f>
        <v/>
      </c>
      <c r="J53" s="71">
        <f>+J54+J129</f>
        <v/>
      </c>
      <c r="K53" s="72">
        <f>+K54+K129</f>
        <v/>
      </c>
      <c r="L53" s="71">
        <f>+L54+L129</f>
        <v/>
      </c>
      <c r="M53" s="72">
        <f>+M54+M129</f>
        <v/>
      </c>
    </row>
    <row r="54" ht="15.75" customHeight="1">
      <c r="A54" s="18" t="inlineStr">
        <is>
          <t>1. Ingresos corrientes</t>
        </is>
      </c>
      <c r="B54" s="19">
        <f>+B55+B58+B65+B79+B85+B87+B89+B92+B96+B105+B107+B113+B115+B122+B127</f>
        <v/>
      </c>
      <c r="C54" s="19">
        <f>+C55+C58+C65+C79+C85+C87+C89+C92+C96+C105+C107+C113+C115+C122+C127</f>
        <v/>
      </c>
      <c r="D54" s="20">
        <f>+D55+D58+D65+D79+D85+D87+D89+D92+D96+D105+D107+D113+D115+D122+D127</f>
        <v/>
      </c>
      <c r="E54" s="21">
        <f>+E55+E58+E65+E79+E85+E87+E89+E92+E96+E105+E107+E113+E115+E122+E127</f>
        <v/>
      </c>
      <c r="F54" s="20">
        <f>+F55+F58+F65+F79+F85+F87+F89+F92+F96+F105+F107+F113+F115+F122+F127</f>
        <v/>
      </c>
      <c r="G54" s="21">
        <f>+G55+G58+G65+G79+G85+G87+G89+G92+G96+G105+G107+G113+G115+G122+G127</f>
        <v/>
      </c>
      <c r="H54" s="20">
        <f>+H55+H58+H65+H79+H85+H87+H89+H92+H96+H105+H107+H113+H115+H122+H127</f>
        <v/>
      </c>
      <c r="I54" s="21">
        <f>+I55+I58+I65+I79+I85+I87+I89+I92+I96+I105+I107+I113+I115+I122+I127</f>
        <v/>
      </c>
      <c r="J54" s="20">
        <f>+J55+J58+J65+J79+J85+J87+J89+J92+J96+J105+J107+J113+J115+J122+J127</f>
        <v/>
      </c>
      <c r="K54" s="21">
        <f>+K55+K58+K65+K79+K85+K87+K89+K92+K96+K105+K107+K113+K115+K122+K127</f>
        <v/>
      </c>
      <c r="L54" s="20">
        <f>+L55+L58+L65+L79+L85+L87+L89+L92+L96+L105+L107+L113+L115+L122+L127</f>
        <v/>
      </c>
      <c r="M54" s="21">
        <f>+M55+M58+M65+M79+M85+M87+M89+M92+M96+M105+M107+M113+M115+M122+M127</f>
        <v/>
      </c>
    </row>
    <row r="55" ht="15.75" customHeight="1">
      <c r="A55" s="22" t="inlineStr">
        <is>
          <t>SERVICIOS ACADÉMICOS PREGRADO</t>
        </is>
      </c>
      <c r="B55" s="23">
        <f>SUM(B56:B57)</f>
        <v/>
      </c>
      <c r="C55" s="23">
        <f>SUM(C56:C57)</f>
        <v/>
      </c>
      <c r="D55" s="24">
        <f>SUM(D56:D57)</f>
        <v/>
      </c>
      <c r="E55" s="25">
        <f>SUM(E56:E57)</f>
        <v/>
      </c>
      <c r="F55" s="24">
        <f>SUM(F56:F57)</f>
        <v/>
      </c>
      <c r="G55" s="25">
        <f>SUM(G56:G57)</f>
        <v/>
      </c>
      <c r="H55" s="24">
        <f>SUM(H56:H57)</f>
        <v/>
      </c>
      <c r="I55" s="25">
        <f>SUM(I56:I57)</f>
        <v/>
      </c>
      <c r="J55" s="24">
        <f>SUM(J56:J57)</f>
        <v/>
      </c>
      <c r="K55" s="25">
        <f>SUM(K56:K57)</f>
        <v/>
      </c>
      <c r="L55" s="24">
        <f>SUM(L56:L57)</f>
        <v/>
      </c>
      <c r="M55" s="25">
        <f>SUM(M56:M57)</f>
        <v/>
      </c>
    </row>
    <row r="56" outlineLevel="1" ht="15.75" customHeight="1">
      <c r="A56" s="30" t="inlineStr">
        <is>
          <t>Derechos de grado - pregrado</t>
        </is>
      </c>
      <c r="B56" s="31" t="n">
        <v>147799242</v>
      </c>
      <c r="C56" s="31" t="n">
        <v>147799242</v>
      </c>
      <c r="D56" s="32" t="n">
        <v>106326599</v>
      </c>
      <c r="E56" s="33" t="n">
        <v>106326599</v>
      </c>
      <c r="F56" s="32" t="n">
        <v>98749552</v>
      </c>
      <c r="G56" s="33" t="n">
        <v>98749552</v>
      </c>
      <c r="H56" s="32" t="n"/>
      <c r="I56" s="33" t="n"/>
      <c r="J56" s="32" t="n"/>
      <c r="K56" s="33" t="n"/>
      <c r="L56" s="32" t="n">
        <v>47882325</v>
      </c>
      <c r="M56" s="33" t="n">
        <v>47882325</v>
      </c>
    </row>
    <row r="57" outlineLevel="1" ht="15.75" customHeight="1">
      <c r="A57" s="30" t="inlineStr">
        <is>
          <t>Expedición de documentos y certificaciones de pregrado</t>
        </is>
      </c>
      <c r="B57" s="31" t="n">
        <v>84151700</v>
      </c>
      <c r="C57" s="31" t="n">
        <v>102352009</v>
      </c>
      <c r="D57" s="32" t="n">
        <v>90913785</v>
      </c>
      <c r="E57" s="33" t="n">
        <v>120037210</v>
      </c>
      <c r="F57" s="32" t="n">
        <v>100000000</v>
      </c>
      <c r="G57" s="33" t="n">
        <v>98631505</v>
      </c>
      <c r="H57" s="32" t="n">
        <v>73449384</v>
      </c>
      <c r="I57" s="33" t="n">
        <v>83049751</v>
      </c>
      <c r="J57" s="32" t="n">
        <v>75168900</v>
      </c>
      <c r="K57" s="33" t="n">
        <v>70007901</v>
      </c>
      <c r="L57" s="32" t="n">
        <v>70000000</v>
      </c>
      <c r="M57" s="33" t="n">
        <v>66063100</v>
      </c>
    </row>
    <row r="58" ht="15.75" customHeight="1">
      <c r="A58" s="22" t="inlineStr">
        <is>
          <t>SERVICIOS ACADÉMICOS POSGRADO</t>
        </is>
      </c>
      <c r="B58" s="23">
        <f>SUM(B59:B64)</f>
        <v/>
      </c>
      <c r="C58" s="23">
        <f>SUM(C59:C64)</f>
        <v/>
      </c>
      <c r="D58" s="24">
        <f>SUM(D59:D64)</f>
        <v/>
      </c>
      <c r="E58" s="25">
        <f>SUM(E59:E64)</f>
        <v/>
      </c>
      <c r="F58" s="24">
        <f>SUM(F59:F64)</f>
        <v/>
      </c>
      <c r="G58" s="25">
        <f>SUM(G59:G64)</f>
        <v/>
      </c>
      <c r="H58" s="24">
        <f>SUM(H59:H64)</f>
        <v/>
      </c>
      <c r="I58" s="25">
        <f>SUM(I59:I64)</f>
        <v/>
      </c>
      <c r="J58" s="24">
        <f>SUM(J59:J64)</f>
        <v/>
      </c>
      <c r="K58" s="25">
        <f>SUM(K59:K64)</f>
        <v/>
      </c>
      <c r="L58" s="24">
        <f>SUM(L59:L64)</f>
        <v/>
      </c>
      <c r="M58" s="25">
        <f>SUM(M59:M64)</f>
        <v/>
      </c>
    </row>
    <row r="59" outlineLevel="1" ht="15.75" customHeight="1">
      <c r="A59" s="26" t="inlineStr">
        <is>
          <t>Derechos administrativos de posgrado</t>
        </is>
      </c>
      <c r="B59" s="27" t="n">
        <v>687869581</v>
      </c>
      <c r="C59" s="27" t="n">
        <v>814827359</v>
      </c>
      <c r="D59" s="28" t="n">
        <v>860679283</v>
      </c>
      <c r="E59" s="29" t="n">
        <v>832311399</v>
      </c>
      <c r="F59" s="28" t="n">
        <v>633122563</v>
      </c>
      <c r="G59" s="29" t="n">
        <v>752217504</v>
      </c>
      <c r="H59" s="28" t="n">
        <v>839434400</v>
      </c>
      <c r="I59" s="29" t="n">
        <v>746318396</v>
      </c>
      <c r="J59" s="28" t="n">
        <v>1023905100</v>
      </c>
      <c r="K59" s="29" t="n">
        <v>619497123</v>
      </c>
      <c r="L59" s="28" t="n">
        <v>979730289</v>
      </c>
      <c r="M59" s="29" t="n">
        <v>697457251</v>
      </c>
    </row>
    <row r="60" outlineLevel="1" ht="15.75" customHeight="1">
      <c r="A60" s="26" t="inlineStr">
        <is>
          <t>Derechos académicos de posgrado</t>
        </is>
      </c>
      <c r="B60" s="27" t="n">
        <v>9839900209</v>
      </c>
      <c r="C60" s="27" t="n">
        <v>11713133377</v>
      </c>
      <c r="D60" s="28" t="n">
        <v>10203219982</v>
      </c>
      <c r="E60" s="29" t="n">
        <v>11804475517</v>
      </c>
      <c r="F60" s="28" t="n">
        <v>10043269505</v>
      </c>
      <c r="G60" s="29" t="n">
        <v>11275092753</v>
      </c>
      <c r="H60" s="28" t="n">
        <v>7408641686</v>
      </c>
      <c r="I60" s="29" t="n">
        <v>11312825883</v>
      </c>
      <c r="J60" s="28" t="n">
        <v>8519301159</v>
      </c>
      <c r="K60" s="29" t="n">
        <v>9421010434</v>
      </c>
      <c r="L60" s="28" t="n">
        <v>7167931468</v>
      </c>
      <c r="M60" s="29" t="n">
        <v>10720213358</v>
      </c>
    </row>
    <row r="61" outlineLevel="1" ht="15.75" customHeight="1">
      <c r="A61" s="26" t="inlineStr">
        <is>
          <t>Bienestar matrícula posgrado</t>
        </is>
      </c>
      <c r="B61" s="27" t="n">
        <v>881975000</v>
      </c>
      <c r="C61" s="27" t="n">
        <v>974919064</v>
      </c>
      <c r="D61" s="28" t="n">
        <v>956795250</v>
      </c>
      <c r="E61" s="29" t="n">
        <v>997219906</v>
      </c>
      <c r="F61" s="28" t="n">
        <v>1016275500</v>
      </c>
      <c r="G61" s="29" t="n">
        <v>926064696</v>
      </c>
      <c r="H61" s="28" t="n">
        <v>768038000</v>
      </c>
      <c r="I61" s="29" t="n">
        <v>887351061</v>
      </c>
      <c r="J61" s="28" t="n">
        <v>946561000</v>
      </c>
      <c r="K61" s="29" t="n">
        <v>757794729</v>
      </c>
      <c r="L61" s="28" t="n">
        <v>399852836</v>
      </c>
      <c r="M61" s="29" t="n">
        <v>850332649</v>
      </c>
    </row>
    <row r="62" outlineLevel="1" ht="15.75" customHeight="1">
      <c r="A62" s="26" t="inlineStr">
        <is>
          <t>Derechos de grado posgrado</t>
        </is>
      </c>
      <c r="B62" s="27" t="n">
        <v>37379493</v>
      </c>
      <c r="C62" s="27" t="n">
        <v>37379493</v>
      </c>
      <c r="D62" s="28" t="n">
        <v>68662722</v>
      </c>
      <c r="E62" s="29" t="n">
        <v>68662722</v>
      </c>
      <c r="F62" s="28" t="n"/>
      <c r="G62" s="29" t="n"/>
      <c r="H62" s="28" t="n">
        <v>108054994</v>
      </c>
      <c r="I62" s="29" t="n">
        <v>108054994</v>
      </c>
      <c r="J62" s="28" t="n">
        <v>63850604</v>
      </c>
      <c r="K62" s="29" t="n">
        <v>63850604</v>
      </c>
      <c r="L62" s="28" t="n"/>
      <c r="M62" s="29" t="n"/>
    </row>
    <row r="63" outlineLevel="1" ht="15.75" customHeight="1">
      <c r="A63" s="26" t="inlineStr">
        <is>
          <t>Expedición de documentos y certificaciones de posgrado</t>
        </is>
      </c>
      <c r="B63" s="27" t="n">
        <v>31156500</v>
      </c>
      <c r="C63" s="27" t="n">
        <v>31722000</v>
      </c>
      <c r="D63" s="28" t="n">
        <v>32679360</v>
      </c>
      <c r="E63" s="29" t="n">
        <v>31783489</v>
      </c>
      <c r="F63" s="28" t="n">
        <v>30000000</v>
      </c>
      <c r="G63" s="29" t="n">
        <v>48973101</v>
      </c>
      <c r="H63" s="28" t="n">
        <v>44279100</v>
      </c>
      <c r="I63" s="29" t="n">
        <v>57602855</v>
      </c>
      <c r="J63" s="28" t="n">
        <v>50122400</v>
      </c>
      <c r="K63" s="29" t="n">
        <v>30311704</v>
      </c>
      <c r="L63" s="28" t="n">
        <v>30000000</v>
      </c>
      <c r="M63" s="29" t="n">
        <v>23295100</v>
      </c>
    </row>
    <row r="64" outlineLevel="1" ht="15.75" customHeight="1">
      <c r="A64" s="26" t="inlineStr">
        <is>
          <t>Otros ingresos académicos de posgrado</t>
        </is>
      </c>
      <c r="B64" s="27" t="n">
        <v>6494200</v>
      </c>
      <c r="C64" s="27" t="n">
        <v>3333564</v>
      </c>
      <c r="D64" s="28" t="n">
        <v>0</v>
      </c>
      <c r="E64" s="29" t="n">
        <v>479473</v>
      </c>
      <c r="F64" s="28" t="n">
        <v>0</v>
      </c>
      <c r="G64" s="29" t="n">
        <v>37136938</v>
      </c>
      <c r="H64" s="28" t="n">
        <v>0</v>
      </c>
      <c r="I64" s="29" t="n">
        <v>55738513</v>
      </c>
      <c r="J64" s="28" t="n">
        <v>0</v>
      </c>
      <c r="K64" s="29" t="n">
        <v>2686761</v>
      </c>
      <c r="L64" s="28" t="n"/>
      <c r="M64" s="29" t="n"/>
    </row>
    <row r="65" ht="15.75" customHeight="1">
      <c r="A65" s="22" t="inlineStr">
        <is>
          <t>SERVICIOS DE EXTENSIÓN</t>
        </is>
      </c>
      <c r="B65" s="23">
        <f>SUM(B66:B78)</f>
        <v/>
      </c>
      <c r="C65" s="23">
        <f>SUM(C66:C78)</f>
        <v/>
      </c>
      <c r="D65" s="24">
        <f>SUM(D66:D78)</f>
        <v/>
      </c>
      <c r="E65" s="25">
        <f>SUM(E66:E78)</f>
        <v/>
      </c>
      <c r="F65" s="24">
        <f>SUM(F66:F78)</f>
        <v/>
      </c>
      <c r="G65" s="25">
        <f>SUM(G66:G78)</f>
        <v/>
      </c>
      <c r="H65" s="24">
        <f>SUM(H66:H78)</f>
        <v/>
      </c>
      <c r="I65" s="25">
        <f>SUM(I66:I78)</f>
        <v/>
      </c>
      <c r="J65" s="24">
        <f>SUM(J66:J78)</f>
        <v/>
      </c>
      <c r="K65" s="25">
        <f>SUM(K66:K78)</f>
        <v/>
      </c>
      <c r="L65" s="24">
        <f>SUM(L66:L78)</f>
        <v/>
      </c>
      <c r="M65" s="25">
        <f>SUM(M66:M78)</f>
        <v/>
      </c>
    </row>
    <row r="66" outlineLevel="1" ht="15.75" customFormat="1" customHeight="1" s="34">
      <c r="A66" s="26" t="inlineStr">
        <is>
          <t>Consultorías y asesorías</t>
        </is>
      </c>
      <c r="B66" s="27" t="n">
        <v>20841943273</v>
      </c>
      <c r="C66" s="27" t="n">
        <v>27883110310</v>
      </c>
      <c r="D66" s="28" t="n">
        <v>20263585141</v>
      </c>
      <c r="E66" s="29" t="n">
        <v>24461694138</v>
      </c>
      <c r="F66" s="28" t="n">
        <v>23829051959</v>
      </c>
      <c r="G66" s="29" t="n">
        <v>23073051960</v>
      </c>
      <c r="H66" s="28" t="n">
        <v>27878058468</v>
      </c>
      <c r="I66" s="29" t="n">
        <v>33560996464</v>
      </c>
      <c r="J66" s="28" t="n">
        <v>39826918619</v>
      </c>
      <c r="K66" s="29" t="n">
        <v>27164738986</v>
      </c>
      <c r="L66" s="28" t="n">
        <v>36822985907</v>
      </c>
      <c r="M66" s="29" t="n">
        <v>32401497436</v>
      </c>
    </row>
    <row r="67" outlineLevel="1" ht="15.75" customFormat="1" customHeight="1" s="34">
      <c r="A67" s="26" t="inlineStr">
        <is>
          <t>Interventorías</t>
        </is>
      </c>
      <c r="B67" s="27" t="n">
        <v>1584975132</v>
      </c>
      <c r="C67" s="27" t="n">
        <v>1940537857</v>
      </c>
      <c r="D67" s="28" t="n">
        <v>2422661167</v>
      </c>
      <c r="E67" s="29" t="n">
        <v>2132004870</v>
      </c>
      <c r="F67" s="28" t="n">
        <v>2400533284</v>
      </c>
      <c r="G67" s="29" t="n">
        <v>3905130823</v>
      </c>
      <c r="H67" s="28" t="n">
        <v>1237732791</v>
      </c>
      <c r="I67" s="29" t="n">
        <v>2234813910</v>
      </c>
      <c r="J67" s="28" t="n">
        <v>1530890124</v>
      </c>
      <c r="K67" s="29" t="n">
        <v>2286038046</v>
      </c>
      <c r="L67" s="28" t="n">
        <v>1214679240</v>
      </c>
      <c r="M67" s="29" t="n">
        <v>1946074243</v>
      </c>
    </row>
    <row r="68" outlineLevel="1" ht="15.75" customFormat="1" customHeight="1" s="34">
      <c r="A68" s="26" t="inlineStr">
        <is>
          <t>Conceptos</t>
        </is>
      </c>
      <c r="B68" s="27" t="n">
        <v>150082800</v>
      </c>
      <c r="C68" s="27" t="n">
        <v>321611554</v>
      </c>
      <c r="D68" s="28" t="n">
        <v>89535297</v>
      </c>
      <c r="E68" s="29" t="n">
        <v>214831589</v>
      </c>
      <c r="F68" s="28" t="n">
        <v>149377001</v>
      </c>
      <c r="G68" s="29" t="n">
        <v>229607832</v>
      </c>
      <c r="H68" s="28" t="n">
        <v>227888000</v>
      </c>
      <c r="I68" s="29" t="n">
        <v>212789180</v>
      </c>
      <c r="J68" s="28" t="n">
        <v>153930000</v>
      </c>
      <c r="K68" s="29" t="n">
        <v>399269858</v>
      </c>
      <c r="L68" s="28" t="n">
        <v>168590000</v>
      </c>
      <c r="M68" s="29" t="n">
        <v>143720943</v>
      </c>
    </row>
    <row r="69" outlineLevel="1" ht="15.75" customFormat="1" customHeight="1" s="34">
      <c r="A69" s="26" t="inlineStr">
        <is>
          <t>Otros servicios de extensión</t>
        </is>
      </c>
      <c r="B69" s="27" t="n">
        <v>2631426000</v>
      </c>
      <c r="C69" s="27" t="n">
        <v>2740973264</v>
      </c>
      <c r="D69" s="28" t="n">
        <v>1969771912</v>
      </c>
      <c r="E69" s="29" t="n">
        <v>3312124856</v>
      </c>
      <c r="F69" s="28" t="n">
        <v>3201163333</v>
      </c>
      <c r="G69" s="29" t="n">
        <v>3965975433</v>
      </c>
      <c r="H69" s="28" t="n">
        <v>5434061981</v>
      </c>
      <c r="I69" s="29" t="n">
        <v>7037848300</v>
      </c>
      <c r="J69" s="28" t="n">
        <v>6175343621</v>
      </c>
      <c r="K69" s="29" t="n">
        <v>4342232039</v>
      </c>
      <c r="L69" s="28" t="n">
        <v>4136453529</v>
      </c>
      <c r="M69" s="29" t="n">
        <v>3815772783</v>
      </c>
    </row>
    <row r="70" outlineLevel="1" ht="15.75" customFormat="1" customHeight="1" s="34">
      <c r="A70" s="26" t="inlineStr">
        <is>
          <t>Cursos de extensión</t>
        </is>
      </c>
      <c r="B70" s="27" t="n">
        <v>423066443</v>
      </c>
      <c r="C70" s="27" t="n">
        <v>969048767</v>
      </c>
      <c r="D70" s="28" t="n">
        <v>713154508</v>
      </c>
      <c r="E70" s="29" t="n">
        <v>1091500599</v>
      </c>
      <c r="F70" s="28" t="n">
        <v>1689260280</v>
      </c>
      <c r="G70" s="29" t="n">
        <v>1427189334</v>
      </c>
      <c r="H70" s="28" t="n">
        <v>1542137692</v>
      </c>
      <c r="I70" s="29" t="n">
        <v>1938043041</v>
      </c>
      <c r="J70" s="28" t="n">
        <v>2926570000</v>
      </c>
      <c r="K70" s="29" t="n">
        <v>2765788928</v>
      </c>
      <c r="L70" s="28" t="n">
        <v>3136997346</v>
      </c>
      <c r="M70" s="29" t="n">
        <v>3386913027</v>
      </c>
    </row>
    <row r="71" outlineLevel="1" ht="15.75" customFormat="1" customHeight="1" s="34">
      <c r="A71" s="26" t="inlineStr">
        <is>
          <t>Cursos de actualización o profundización</t>
        </is>
      </c>
      <c r="B71" s="27" t="n">
        <v>46184414</v>
      </c>
      <c r="C71" s="27" t="n">
        <v>56879214</v>
      </c>
      <c r="D71" s="28" t="n">
        <v>18400000</v>
      </c>
      <c r="E71" s="29" t="n">
        <v>7200000</v>
      </c>
      <c r="F71" s="28" t="n">
        <v>82000000</v>
      </c>
      <c r="G71" s="29" t="n">
        <v>63307694</v>
      </c>
      <c r="H71" s="28" t="n">
        <v>350990758</v>
      </c>
      <c r="I71" s="29" t="n">
        <v>445841244</v>
      </c>
      <c r="J71" s="28" t="n">
        <v>181613879</v>
      </c>
      <c r="K71" s="29" t="n">
        <v>146613878</v>
      </c>
      <c r="L71" s="28" t="n">
        <v>107714285</v>
      </c>
      <c r="M71" s="29" t="n">
        <v>101500000</v>
      </c>
    </row>
    <row r="72" outlineLevel="1" ht="15.75" customFormat="1" customHeight="1" s="34">
      <c r="A72" s="26" t="inlineStr">
        <is>
          <t>Diplomados</t>
        </is>
      </c>
      <c r="B72" s="27" t="n">
        <v>705752001</v>
      </c>
      <c r="C72" s="27" t="n">
        <v>746534905</v>
      </c>
      <c r="D72" s="28" t="n">
        <v>353255358</v>
      </c>
      <c r="E72" s="29" t="n">
        <v>359899988</v>
      </c>
      <c r="F72" s="28" t="n">
        <v>232782001</v>
      </c>
      <c r="G72" s="29" t="n">
        <v>243853200</v>
      </c>
      <c r="H72" s="28" t="n">
        <v>822186121</v>
      </c>
      <c r="I72" s="29" t="n">
        <v>912226446</v>
      </c>
      <c r="J72" s="28" t="n">
        <v>526000000</v>
      </c>
      <c r="K72" s="29" t="n">
        <v>359372694</v>
      </c>
      <c r="L72" s="28" t="n">
        <v>39680883</v>
      </c>
      <c r="M72" s="29" t="n">
        <v>19411523</v>
      </c>
    </row>
    <row r="73" outlineLevel="1" ht="15.75" customFormat="1" customHeight="1" s="34">
      <c r="A73" s="26" t="inlineStr">
        <is>
          <t>Eventos de extensión</t>
        </is>
      </c>
      <c r="B73" s="27" t="n">
        <v>347992552</v>
      </c>
      <c r="C73" s="27" t="n">
        <v>182790591</v>
      </c>
      <c r="D73" s="28" t="n">
        <v>239041022</v>
      </c>
      <c r="E73" s="29" t="n">
        <v>118994085</v>
      </c>
      <c r="F73" s="28" t="n">
        <v>564011377</v>
      </c>
      <c r="G73" s="29" t="n">
        <v>459074494</v>
      </c>
      <c r="H73" s="28" t="n">
        <v>190832923</v>
      </c>
      <c r="I73" s="29" t="n">
        <v>234510811</v>
      </c>
      <c r="J73" s="28" t="n">
        <v>335000000</v>
      </c>
      <c r="K73" s="29" t="n">
        <v>98572741</v>
      </c>
      <c r="L73" s="28" t="n">
        <v>200594472</v>
      </c>
      <c r="M73" s="29" t="n">
        <v>198200610</v>
      </c>
    </row>
    <row r="74" outlineLevel="1" ht="15.75" customFormat="1" customHeight="1" s="34">
      <c r="A74" s="26" t="inlineStr">
        <is>
          <t>Servicio docente asistencial</t>
        </is>
      </c>
      <c r="B74" s="27" t="n">
        <v>0</v>
      </c>
      <c r="C74" s="27" t="n">
        <v>2400000</v>
      </c>
      <c r="D74" s="28" t="n">
        <v>0</v>
      </c>
      <c r="E74" s="29" t="n">
        <v>3346169</v>
      </c>
      <c r="F74" s="28" t="n"/>
      <c r="G74" s="29" t="n"/>
      <c r="H74" s="28" t="n"/>
      <c r="I74" s="29" t="n"/>
      <c r="J74" s="28" t="n"/>
      <c r="K74" s="29" t="n"/>
      <c r="L74" s="28" t="n"/>
      <c r="M74" s="29" t="n"/>
    </row>
    <row r="75" outlineLevel="1" ht="15.75" customFormat="1" customHeight="1" s="34">
      <c r="A75" s="26" t="inlineStr">
        <is>
          <t>Participación en proyectos de innovación y gestion tecnológica</t>
        </is>
      </c>
      <c r="B75" s="27" t="n">
        <v>131455300</v>
      </c>
      <c r="C75" s="27" t="n">
        <v>227696595</v>
      </c>
      <c r="D75" s="28" t="n"/>
      <c r="E75" s="29" t="n"/>
      <c r="F75" s="28" t="n">
        <v>131481592</v>
      </c>
      <c r="G75" s="29" t="n">
        <v>131481592</v>
      </c>
      <c r="H75" s="28" t="n"/>
      <c r="I75" s="29" t="n"/>
      <c r="J75" s="28" t="n">
        <v>100000000</v>
      </c>
      <c r="K75" s="29" t="n">
        <v>0</v>
      </c>
      <c r="L75" s="28" t="n"/>
      <c r="M75" s="29" t="n"/>
    </row>
    <row r="76" outlineLevel="1" ht="15.75" customFormat="1" customHeight="1" s="34">
      <c r="A76" s="26" t="inlineStr">
        <is>
          <t>Servicios de educación ( formulación de programas académicos y estrategias pedagógicas)</t>
        </is>
      </c>
      <c r="B76" s="27" t="n">
        <v>43800</v>
      </c>
      <c r="C76" s="27" t="n">
        <v>0</v>
      </c>
      <c r="D76" s="28" t="n"/>
      <c r="E76" s="29" t="n"/>
      <c r="F76" s="28" t="n"/>
      <c r="G76" s="29" t="n"/>
      <c r="H76" s="28" t="n"/>
      <c r="I76" s="29" t="n"/>
      <c r="J76" s="28" t="n"/>
      <c r="K76" s="29" t="n"/>
      <c r="L76" s="28" t="n"/>
      <c r="M76" s="29" t="n"/>
    </row>
    <row r="77" outlineLevel="1" ht="15.75" customFormat="1" customHeight="1" s="34">
      <c r="A77" s="26" t="inlineStr">
        <is>
          <t>Extensión solidaria</t>
        </is>
      </c>
      <c r="B77" s="27" t="n">
        <v>29532500</v>
      </c>
      <c r="C77" s="27" t="n">
        <v>44467500</v>
      </c>
      <c r="D77" s="28" t="n">
        <v>350000000</v>
      </c>
      <c r="E77" s="29" t="n">
        <v>323250000</v>
      </c>
      <c r="F77" s="28" t="n">
        <v>23750000</v>
      </c>
      <c r="G77" s="29" t="n">
        <v>0</v>
      </c>
      <c r="H77" s="28" t="n">
        <v>915023819</v>
      </c>
      <c r="I77" s="29" t="n">
        <v>796048400</v>
      </c>
      <c r="J77" s="28" t="n">
        <v>365000000</v>
      </c>
      <c r="K77" s="29" t="n">
        <v>444929505</v>
      </c>
      <c r="L77" s="28" t="n">
        <v>1122861029</v>
      </c>
      <c r="M77" s="29" t="n">
        <v>870613376</v>
      </c>
    </row>
    <row r="78" outlineLevel="1" ht="15.75" customFormat="1" customHeight="1" s="34">
      <c r="A78" s="26" t="inlineStr">
        <is>
          <t>Prácticas y pasantías universitarias</t>
        </is>
      </c>
      <c r="B78" s="27" t="n"/>
      <c r="C78" s="27" t="n"/>
      <c r="D78" s="28" t="n"/>
      <c r="E78" s="29" t="n"/>
      <c r="F78" s="28" t="n"/>
      <c r="G78" s="29" t="n"/>
      <c r="H78" s="28" t="n">
        <v>0</v>
      </c>
      <c r="I78" s="29" t="n">
        <v>17702000</v>
      </c>
      <c r="J78" s="28" t="n"/>
      <c r="K78" s="29" t="n"/>
      <c r="L78" s="28" t="n"/>
      <c r="M78" s="29" t="n"/>
    </row>
    <row r="79" ht="15.75" customHeight="1">
      <c r="A79" s="22" t="inlineStr">
        <is>
          <t>SERVICIOS BIENESTAR</t>
        </is>
      </c>
      <c r="B79" s="23">
        <f>SUM(B80:B84)</f>
        <v/>
      </c>
      <c r="C79" s="23">
        <f>SUM(C80:C84)</f>
        <v/>
      </c>
      <c r="D79" s="24">
        <f>SUM(D80:D84)</f>
        <v/>
      </c>
      <c r="E79" s="25">
        <f>SUM(E80:E84)</f>
        <v/>
      </c>
      <c r="F79" s="24">
        <f>SUM(F80:F84)</f>
        <v/>
      </c>
      <c r="G79" s="25">
        <f>SUM(G80:G84)</f>
        <v/>
      </c>
      <c r="H79" s="24">
        <f>SUM(H80:H84)</f>
        <v/>
      </c>
      <c r="I79" s="25">
        <f>SUM(I80:I84)</f>
        <v/>
      </c>
      <c r="J79" s="24">
        <f>SUM(J80:J84)</f>
        <v/>
      </c>
      <c r="K79" s="25">
        <f>SUM(K80:K84)</f>
        <v/>
      </c>
      <c r="L79" s="24">
        <f>SUM(L80:L84)</f>
        <v/>
      </c>
      <c r="M79" s="25">
        <f>SUM(M80:M84)</f>
        <v/>
      </c>
    </row>
    <row r="80" outlineLevel="1" ht="15.75" customHeight="1">
      <c r="A80" s="26" t="inlineStr">
        <is>
          <t>Matriculas jardín infantil</t>
        </is>
      </c>
      <c r="B80" s="27" t="n">
        <v>38097700</v>
      </c>
      <c r="C80" s="27" t="n">
        <v>92468165</v>
      </c>
      <c r="D80" s="28" t="n">
        <v>0</v>
      </c>
      <c r="E80" s="29" t="n">
        <v>0</v>
      </c>
      <c r="F80" s="28" t="n"/>
      <c r="G80" s="29" t="n"/>
      <c r="H80" s="28" t="n"/>
      <c r="I80" s="29" t="n"/>
      <c r="J80" s="28" t="n"/>
      <c r="K80" s="29" t="n"/>
      <c r="L80" s="28" t="n"/>
      <c r="M80" s="29" t="n"/>
    </row>
    <row r="81" outlineLevel="1" ht="15.75" customHeight="1">
      <c r="A81" s="26" t="inlineStr">
        <is>
          <t>Servicios de salud de bienestar</t>
        </is>
      </c>
      <c r="B81" s="27" t="n">
        <v>0</v>
      </c>
      <c r="C81" s="27" t="n">
        <v>80263954</v>
      </c>
      <c r="D81" s="28" t="n">
        <v>62373920</v>
      </c>
      <c r="E81" s="29" t="n">
        <v>134725700</v>
      </c>
      <c r="F81" s="28" t="n">
        <v>110759900</v>
      </c>
      <c r="G81" s="29" t="n">
        <v>142156700</v>
      </c>
      <c r="H81" s="28" t="n">
        <v>130255800</v>
      </c>
      <c r="I81" s="29" t="n">
        <v>159788189</v>
      </c>
      <c r="J81" s="28" t="n">
        <v>134814800</v>
      </c>
      <c r="K81" s="29" t="n">
        <v>31016893</v>
      </c>
      <c r="L81" s="28" t="n">
        <v>0</v>
      </c>
      <c r="M81" s="29" t="n">
        <v>8138800</v>
      </c>
    </row>
    <row r="82" outlineLevel="1" ht="15.75" customHeight="1">
      <c r="A82" s="26" t="inlineStr">
        <is>
          <t>Actividades de cultura</t>
        </is>
      </c>
      <c r="B82" s="27" t="n">
        <v>0</v>
      </c>
      <c r="C82" s="27" t="n">
        <v>1675000</v>
      </c>
      <c r="D82" s="28" t="n">
        <v>2000000</v>
      </c>
      <c r="E82" s="29" t="n">
        <v>1334000</v>
      </c>
      <c r="F82" s="28" t="n">
        <v>1410800</v>
      </c>
      <c r="G82" s="29" t="n">
        <v>0</v>
      </c>
      <c r="H82" s="28" t="n"/>
      <c r="I82" s="29" t="n"/>
      <c r="J82" s="28" t="n"/>
      <c r="K82" s="29" t="n"/>
      <c r="L82" s="28" t="n"/>
      <c r="M82" s="29" t="n"/>
    </row>
    <row r="83" outlineLevel="1" ht="15.75" customHeight="1">
      <c r="A83" s="26" t="inlineStr">
        <is>
          <t>Actividades de recreación y deporte</t>
        </is>
      </c>
      <c r="B83" s="27" t="n">
        <v>0</v>
      </c>
      <c r="C83" s="27" t="n">
        <v>5326100</v>
      </c>
      <c r="D83" s="28" t="n">
        <v>10000000</v>
      </c>
      <c r="E83" s="29" t="n">
        <v>10251850</v>
      </c>
      <c r="F83" s="28" t="n">
        <v>10081000</v>
      </c>
      <c r="G83" s="29" t="n">
        <v>150000</v>
      </c>
      <c r="H83" s="28" t="n"/>
      <c r="I83" s="29" t="n"/>
      <c r="J83" s="28" t="n"/>
      <c r="K83" s="29" t="n"/>
      <c r="L83" s="28" t="n"/>
      <c r="M83" s="29" t="n"/>
    </row>
    <row r="84" outlineLevel="1" ht="15.75" customHeight="1">
      <c r="A84" s="26" t="inlineStr">
        <is>
          <t>Matriculas colegio - escuela</t>
        </is>
      </c>
      <c r="B84" s="27" t="n"/>
      <c r="C84" s="27" t="n"/>
      <c r="D84" s="28" t="n">
        <v>77410400</v>
      </c>
      <c r="E84" s="29" t="n">
        <v>91966649</v>
      </c>
      <c r="F84" s="28" t="n">
        <v>65441400</v>
      </c>
      <c r="G84" s="29" t="n">
        <v>89095068</v>
      </c>
      <c r="H84" s="28" t="n">
        <v>64023800</v>
      </c>
      <c r="I84" s="29" t="n">
        <v>93781198</v>
      </c>
      <c r="J84" s="28" t="n">
        <v>66973100</v>
      </c>
      <c r="K84" s="29" t="n">
        <v>84532624</v>
      </c>
      <c r="L84" s="28" t="n">
        <v>65000000</v>
      </c>
      <c r="M84" s="29" t="n">
        <v>86800727</v>
      </c>
    </row>
    <row r="85" ht="15.75" customHeight="1">
      <c r="A85" s="22" t="inlineStr">
        <is>
          <t>SERVICIOS DE INVESTIGACION</t>
        </is>
      </c>
      <c r="B85" s="23">
        <f>SUM(B86:B86)</f>
        <v/>
      </c>
      <c r="C85" s="23">
        <f>SUM(C86:C86)</f>
        <v/>
      </c>
      <c r="D85" s="24">
        <f>SUM(D86:D86)</f>
        <v/>
      </c>
      <c r="E85" s="25">
        <f>SUM(E86:E86)</f>
        <v/>
      </c>
      <c r="F85" s="24">
        <f>SUM(F86:F86)</f>
        <v/>
      </c>
      <c r="G85" s="25">
        <f>SUM(G86:G86)</f>
        <v/>
      </c>
      <c r="H85" s="24">
        <f>SUM(H86:H86)</f>
        <v/>
      </c>
      <c r="I85" s="25">
        <f>SUM(I86:I86)</f>
        <v/>
      </c>
      <c r="J85" s="24">
        <f>SUM(J86:J86)</f>
        <v/>
      </c>
      <c r="K85" s="25">
        <f>SUM(K86:K86)</f>
        <v/>
      </c>
      <c r="L85" s="24">
        <f>SUM(L86:L86)</f>
        <v/>
      </c>
      <c r="M85" s="25">
        <f>SUM(M86:M86)</f>
        <v/>
      </c>
    </row>
    <row r="86" outlineLevel="1" ht="15.75" customFormat="1" customHeight="1" s="34">
      <c r="A86" s="30" t="inlineStr">
        <is>
          <t>Convenios y/o contratos de investigación</t>
        </is>
      </c>
      <c r="B86" s="27" t="n">
        <v>15805496347</v>
      </c>
      <c r="C86" s="27" t="n">
        <v>20960453131</v>
      </c>
      <c r="D86" s="28" t="n">
        <v>19663772252</v>
      </c>
      <c r="E86" s="29" t="n">
        <v>24453490565</v>
      </c>
      <c r="F86" s="28" t="n">
        <v>17131062942</v>
      </c>
      <c r="G86" s="29" t="n">
        <v>19947231327</v>
      </c>
      <c r="H86" s="28" t="n">
        <v>14274784962</v>
      </c>
      <c r="I86" s="29" t="n">
        <v>17550157210</v>
      </c>
      <c r="J86" s="28" t="n">
        <v>17823662489</v>
      </c>
      <c r="K86" s="29" t="n">
        <v>14831320095</v>
      </c>
      <c r="L86" s="28" t="n">
        <v>26007200148</v>
      </c>
      <c r="M86" s="29" t="n">
        <v>27309995021</v>
      </c>
    </row>
    <row r="87" ht="15.75" customHeight="1">
      <c r="A87" s="22" t="inlineStr">
        <is>
          <t>SERVICIOS DE COMUNICACIÓN</t>
        </is>
      </c>
      <c r="B87" s="23">
        <f>SUM(B88:B88)</f>
        <v/>
      </c>
      <c r="C87" s="23">
        <f>SUM(C88:C88)</f>
        <v/>
      </c>
      <c r="D87" s="24">
        <f>SUM(D88:D88)</f>
        <v/>
      </c>
      <c r="E87" s="25">
        <f>SUM(E88:E88)</f>
        <v/>
      </c>
      <c r="F87" s="24">
        <f>SUM(F88:F88)</f>
        <v/>
      </c>
      <c r="G87" s="25">
        <f>SUM(G88:G88)</f>
        <v/>
      </c>
      <c r="H87" s="24">
        <f>SUM(H88:H88)</f>
        <v/>
      </c>
      <c r="I87" s="25">
        <f>SUM(I88:I88)</f>
        <v/>
      </c>
      <c r="J87" s="24">
        <f>SUM(J88:J88)</f>
        <v/>
      </c>
      <c r="K87" s="25">
        <f>SUM(K88:K88)</f>
        <v/>
      </c>
      <c r="L87" s="24">
        <f>SUM(L88:L88)</f>
        <v/>
      </c>
      <c r="M87" s="25">
        <f>SUM(M88:M88)</f>
        <v/>
      </c>
    </row>
    <row r="88" outlineLevel="1" ht="15.75" customFormat="1" customHeight="1" s="34">
      <c r="A88" s="30" t="inlineStr">
        <is>
          <t>Servicios de publicidad</t>
        </is>
      </c>
      <c r="B88" s="31" t="n">
        <v>0</v>
      </c>
      <c r="C88" s="31" t="n">
        <v>903511</v>
      </c>
      <c r="D88" s="32" t="n">
        <v>1000000</v>
      </c>
      <c r="E88" s="33" t="n">
        <v>359900</v>
      </c>
      <c r="F88" s="32" t="n">
        <v>500000</v>
      </c>
      <c r="G88" s="33" t="n">
        <v>105300</v>
      </c>
      <c r="H88" s="32" t="n">
        <v>1000000</v>
      </c>
      <c r="I88" s="33" t="n">
        <v>0</v>
      </c>
      <c r="J88" s="32" t="n">
        <v>1000000</v>
      </c>
      <c r="K88" s="33" t="n">
        <v>0</v>
      </c>
      <c r="L88" s="32" t="n">
        <v>1019000</v>
      </c>
      <c r="M88" s="33" t="n">
        <v>3330000</v>
      </c>
    </row>
    <row r="89" ht="15.75" customHeight="1">
      <c r="A89" s="22" t="inlineStr">
        <is>
          <t>ARRENDAMIENTOS</t>
        </is>
      </c>
      <c r="B89" s="23">
        <f>SUM(B90:B91)</f>
        <v/>
      </c>
      <c r="C89" s="23">
        <f>SUM(C90:C91)</f>
        <v/>
      </c>
      <c r="D89" s="24">
        <f>SUM(D90:D91)</f>
        <v/>
      </c>
      <c r="E89" s="25">
        <f>SUM(E90:E91)</f>
        <v/>
      </c>
      <c r="F89" s="24">
        <f>SUM(F90:F91)</f>
        <v/>
      </c>
      <c r="G89" s="25">
        <f>SUM(G90:G91)</f>
        <v/>
      </c>
      <c r="H89" s="24">
        <f>SUM(H90:H91)</f>
        <v/>
      </c>
      <c r="I89" s="25">
        <f>SUM(I90:I91)</f>
        <v/>
      </c>
      <c r="J89" s="24">
        <f>SUM(J90:J91)</f>
        <v/>
      </c>
      <c r="K89" s="25">
        <f>SUM(K90:K91)</f>
        <v/>
      </c>
      <c r="L89" s="24">
        <f>SUM(L90:L91)</f>
        <v/>
      </c>
      <c r="M89" s="25">
        <f>SUM(M90:M91)</f>
        <v/>
      </c>
    </row>
    <row r="90" outlineLevel="1" ht="15.75" customFormat="1" customHeight="1" s="34">
      <c r="A90" s="30" t="inlineStr">
        <is>
          <t>Arrendamiento de bienes muebles</t>
        </is>
      </c>
      <c r="B90" s="31" t="n">
        <v>306511300</v>
      </c>
      <c r="C90" s="31" t="n">
        <v>58893200</v>
      </c>
      <c r="D90" s="32" t="n">
        <v>66537500</v>
      </c>
      <c r="E90" s="33" t="n">
        <v>22533890</v>
      </c>
      <c r="F90" s="32" t="n">
        <v>57500000</v>
      </c>
      <c r="G90" s="33" t="n">
        <v>24053608</v>
      </c>
      <c r="H90" s="32" t="n">
        <v>23196000</v>
      </c>
      <c r="I90" s="33" t="n">
        <v>40487583</v>
      </c>
      <c r="J90" s="32" t="n">
        <v>28800000</v>
      </c>
      <c r="K90" s="33" t="n">
        <v>2702700</v>
      </c>
      <c r="L90" s="32" t="n">
        <v>23728000</v>
      </c>
      <c r="M90" s="33" t="n">
        <v>155600</v>
      </c>
    </row>
    <row r="91" outlineLevel="1" ht="15.75" customFormat="1" customHeight="1" s="34">
      <c r="A91" s="30" t="inlineStr">
        <is>
          <t>Arrendamiento de bienes inmuebles</t>
        </is>
      </c>
      <c r="B91" s="31" t="n">
        <v>325566100</v>
      </c>
      <c r="C91" s="31" t="n">
        <v>682378223</v>
      </c>
      <c r="D91" s="32" t="n">
        <v>789886712</v>
      </c>
      <c r="E91" s="33" t="n">
        <v>749227797</v>
      </c>
      <c r="F91" s="32" t="n">
        <v>743183203</v>
      </c>
      <c r="G91" s="33" t="n">
        <v>734647823</v>
      </c>
      <c r="H91" s="32" t="n">
        <v>768091400</v>
      </c>
      <c r="I91" s="33" t="n">
        <v>818701723</v>
      </c>
      <c r="J91" s="32" t="n">
        <v>967256100</v>
      </c>
      <c r="K91" s="33" t="n">
        <v>339168650</v>
      </c>
      <c r="L91" s="32" t="n">
        <v>205095000</v>
      </c>
      <c r="M91" s="33" t="n">
        <v>183815310</v>
      </c>
    </row>
    <row r="92" ht="15.75" customHeight="1">
      <c r="A92" s="22" t="inlineStr">
        <is>
          <t>VENTA DE IMPRESOS Y PUBLICACIONES</t>
        </is>
      </c>
      <c r="B92" s="23">
        <f>SUM(B93:B95)</f>
        <v/>
      </c>
      <c r="C92" s="23">
        <f>SUM(C93:C95)</f>
        <v/>
      </c>
      <c r="D92" s="24">
        <f>SUM(D93:D95)</f>
        <v/>
      </c>
      <c r="E92" s="25">
        <f>SUM(E93:E95)</f>
        <v/>
      </c>
      <c r="F92" s="24">
        <f>SUM(F93:F95)</f>
        <v/>
      </c>
      <c r="G92" s="25">
        <f>SUM(G93:G95)</f>
        <v/>
      </c>
      <c r="H92" s="24">
        <f>SUM(H93:H95)</f>
        <v/>
      </c>
      <c r="I92" s="25">
        <f>SUM(I93:I95)</f>
        <v/>
      </c>
      <c r="J92" s="24">
        <f>SUM(J93:J95)</f>
        <v/>
      </c>
      <c r="K92" s="25">
        <f>SUM(K93:K95)</f>
        <v/>
      </c>
      <c r="L92" s="24">
        <f>SUM(L93:L95)</f>
        <v/>
      </c>
      <c r="M92" s="25">
        <f>SUM(M93:M95)</f>
        <v/>
      </c>
    </row>
    <row r="93" outlineLevel="1" ht="15.75" customFormat="1" customHeight="1" s="34">
      <c r="A93" s="26" t="inlineStr">
        <is>
          <t>Venta de libros  y revistas  propios</t>
        </is>
      </c>
      <c r="B93" s="27" t="n">
        <v>59306000</v>
      </c>
      <c r="C93" s="27" t="n">
        <v>161040526</v>
      </c>
      <c r="D93" s="28" t="n">
        <v>38172200</v>
      </c>
      <c r="E93" s="29" t="n">
        <v>45760389</v>
      </c>
      <c r="F93" s="28" t="n">
        <v>43683600</v>
      </c>
      <c r="G93" s="29" t="n">
        <v>36784452</v>
      </c>
      <c r="H93" s="28" t="n">
        <v>43343100</v>
      </c>
      <c r="I93" s="29" t="n">
        <v>48126372</v>
      </c>
      <c r="J93" s="28" t="n">
        <v>45000000</v>
      </c>
      <c r="K93" s="29" t="n">
        <v>9223920</v>
      </c>
      <c r="L93" s="28" t="n">
        <v>30019000</v>
      </c>
      <c r="M93" s="29" t="n">
        <v>20572752</v>
      </c>
    </row>
    <row r="94" outlineLevel="1" ht="15.75" customFormat="1" customHeight="1" s="34">
      <c r="A94" s="26" t="inlineStr">
        <is>
          <t>Edición e impresión de publicaciones</t>
        </is>
      </c>
      <c r="B94" s="27" t="n">
        <v>1500000</v>
      </c>
      <c r="C94" s="27" t="n">
        <v>0</v>
      </c>
      <c r="D94" s="28" t="n"/>
      <c r="E94" s="29" t="n"/>
      <c r="F94" s="28" t="n"/>
      <c r="G94" s="29" t="n"/>
      <c r="H94" s="28" t="n">
        <v>0</v>
      </c>
      <c r="I94" s="29" t="n">
        <v>25979790</v>
      </c>
      <c r="J94" s="28" t="n">
        <v>45000000</v>
      </c>
      <c r="K94" s="29" t="n">
        <v>187603</v>
      </c>
      <c r="L94" s="28" t="n">
        <v>20000000</v>
      </c>
      <c r="M94" s="29" t="n">
        <v>0</v>
      </c>
    </row>
    <row r="95" outlineLevel="1" ht="15.75" customFormat="1" customHeight="1" s="34">
      <c r="A95" s="26" t="inlineStr">
        <is>
          <t>Otros impresos y publicaciones</t>
        </is>
      </c>
      <c r="B95" s="27" t="n">
        <v>44300000</v>
      </c>
      <c r="C95" s="27" t="n">
        <v>18954819</v>
      </c>
      <c r="D95" s="28" t="n">
        <v>14163905</v>
      </c>
      <c r="E95" s="29" t="n">
        <v>17282616</v>
      </c>
      <c r="F95" s="28" t="n">
        <v>54366700</v>
      </c>
      <c r="G95" s="29" t="n">
        <v>35797377</v>
      </c>
      <c r="H95" s="28" t="n">
        <v>23500000</v>
      </c>
      <c r="I95" s="29" t="n">
        <v>43477178</v>
      </c>
      <c r="J95" s="28" t="n">
        <v>36000000</v>
      </c>
      <c r="K95" s="29" t="n">
        <v>2751280</v>
      </c>
      <c r="L95" s="28" t="n">
        <v>9200000</v>
      </c>
      <c r="M95" s="29" t="n">
        <v>9043110</v>
      </c>
    </row>
    <row r="96" ht="15.75" customHeight="1">
      <c r="A96" s="22" t="inlineStr">
        <is>
          <t>VENTA DE PRODUCTOS</t>
        </is>
      </c>
      <c r="B96" s="23">
        <f>SUM(B97:B104)</f>
        <v/>
      </c>
      <c r="C96" s="23">
        <f>SUM(C97:C104)</f>
        <v/>
      </c>
      <c r="D96" s="24">
        <f>SUM(D97:D104)</f>
        <v/>
      </c>
      <c r="E96" s="25">
        <f>SUM(E97:E104)</f>
        <v/>
      </c>
      <c r="F96" s="24">
        <f>SUM(F97:F104)</f>
        <v/>
      </c>
      <c r="G96" s="25">
        <f>SUM(G97:G104)</f>
        <v/>
      </c>
      <c r="H96" s="24">
        <f>SUM(H97:H104)</f>
        <v/>
      </c>
      <c r="I96" s="25">
        <f>SUM(I97:I104)</f>
        <v/>
      </c>
      <c r="J96" s="24">
        <f>SUM(J97:J104)</f>
        <v/>
      </c>
      <c r="K96" s="25">
        <f>SUM(K97:K104)</f>
        <v/>
      </c>
      <c r="L96" s="24">
        <f>SUM(L97:L104)</f>
        <v/>
      </c>
      <c r="M96" s="25">
        <f>SUM(M97:M104)</f>
        <v/>
      </c>
    </row>
    <row r="97" outlineLevel="1" ht="15.75" customHeight="1">
      <c r="A97" s="26" t="inlineStr">
        <is>
          <t>Venta de productos agrícolas</t>
        </is>
      </c>
      <c r="B97" s="27" t="n">
        <v>110000000</v>
      </c>
      <c r="C97" s="27" t="n">
        <v>124248401</v>
      </c>
      <c r="D97" s="28" t="n">
        <v>110000000</v>
      </c>
      <c r="E97" s="29" t="n">
        <v>107738468</v>
      </c>
      <c r="F97" s="28" t="n">
        <v>915000000</v>
      </c>
      <c r="G97" s="29" t="n">
        <v>134853301</v>
      </c>
      <c r="H97" s="28" t="n">
        <v>139000000</v>
      </c>
      <c r="I97" s="29" t="n">
        <v>122976518</v>
      </c>
      <c r="J97" s="28" t="n">
        <v>110000000</v>
      </c>
      <c r="K97" s="29" t="n">
        <v>112455041</v>
      </c>
      <c r="L97" s="28" t="n">
        <v>119690000</v>
      </c>
      <c r="M97" s="29" t="n">
        <v>184197651</v>
      </c>
    </row>
    <row r="98" outlineLevel="1" ht="15.75" customHeight="1">
      <c r="A98" s="26" t="inlineStr">
        <is>
          <t>Venta de apícolas</t>
        </is>
      </c>
      <c r="B98" s="27" t="n">
        <v>35000000</v>
      </c>
      <c r="C98" s="27" t="n">
        <v>9058500</v>
      </c>
      <c r="D98" s="28" t="n">
        <v>20000000</v>
      </c>
      <c r="E98" s="29" t="n">
        <v>16979500</v>
      </c>
      <c r="F98" s="28" t="n">
        <v>25000000</v>
      </c>
      <c r="G98" s="29" t="n">
        <v>20283827</v>
      </c>
      <c r="H98" s="28" t="n">
        <v>36000000</v>
      </c>
      <c r="I98" s="29" t="n">
        <v>24430801</v>
      </c>
      <c r="J98" s="28" t="n">
        <v>25000000</v>
      </c>
      <c r="K98" s="29" t="n">
        <v>5403502</v>
      </c>
      <c r="L98" s="28" t="n">
        <v>25000000</v>
      </c>
      <c r="M98" s="29" t="n">
        <v>10146000</v>
      </c>
    </row>
    <row r="99" outlineLevel="1" ht="15.75" customHeight="1">
      <c r="A99" s="26" t="inlineStr">
        <is>
          <t>Venta de derivados pecuarios</t>
        </is>
      </c>
      <c r="B99" s="27" t="n">
        <v>300000000</v>
      </c>
      <c r="C99" s="27" t="n">
        <v>368885395</v>
      </c>
      <c r="D99" s="28" t="n">
        <v>359000000</v>
      </c>
      <c r="E99" s="29" t="n">
        <v>330795990</v>
      </c>
      <c r="F99" s="28" t="n">
        <v>310000000</v>
      </c>
      <c r="G99" s="29" t="n">
        <v>415767650</v>
      </c>
      <c r="H99" s="28" t="n">
        <v>619000000</v>
      </c>
      <c r="I99" s="29" t="n">
        <v>438719510</v>
      </c>
      <c r="J99" s="28" t="n">
        <v>751000000</v>
      </c>
      <c r="K99" s="29" t="n">
        <v>529269966</v>
      </c>
      <c r="L99" s="28" t="n">
        <v>1096400000</v>
      </c>
      <c r="M99" s="29" t="n">
        <v>457580000</v>
      </c>
    </row>
    <row r="100" outlineLevel="1" ht="15.75" customHeight="1">
      <c r="A100" s="26" t="inlineStr">
        <is>
          <t>Venta de animales</t>
        </is>
      </c>
      <c r="B100" s="27" t="n">
        <v>550000000</v>
      </c>
      <c r="C100" s="27" t="n">
        <v>409736524</v>
      </c>
      <c r="D100" s="28" t="n">
        <v>980000000</v>
      </c>
      <c r="E100" s="29" t="n">
        <v>433766981</v>
      </c>
      <c r="F100" s="28" t="n">
        <v>300000000</v>
      </c>
      <c r="G100" s="29" t="n">
        <v>463605495</v>
      </c>
      <c r="H100" s="28" t="n">
        <v>400000000</v>
      </c>
      <c r="I100" s="29" t="n">
        <v>490664126</v>
      </c>
      <c r="J100" s="28" t="n">
        <v>400000000</v>
      </c>
      <c r="K100" s="29" t="n">
        <v>584319745</v>
      </c>
      <c r="L100" s="28" t="n">
        <v>407600000</v>
      </c>
      <c r="M100" s="29" t="n">
        <v>833672336</v>
      </c>
    </row>
    <row r="101" outlineLevel="1" ht="15.75" customHeight="1">
      <c r="A101" s="26" t="inlineStr">
        <is>
          <t>Venta de cárnicos</t>
        </is>
      </c>
      <c r="B101" s="27" t="n">
        <v>2000000</v>
      </c>
      <c r="C101" s="27" t="n">
        <v>2023000</v>
      </c>
      <c r="D101" s="28" t="n">
        <v>1550000</v>
      </c>
      <c r="E101" s="29" t="n">
        <v>2023310</v>
      </c>
      <c r="F101" s="28" t="n">
        <v>1000000</v>
      </c>
      <c r="G101" s="29" t="n">
        <v>1353500</v>
      </c>
      <c r="H101" s="28" t="n">
        <v>120000</v>
      </c>
      <c r="I101" s="29" t="n">
        <v>18496900</v>
      </c>
      <c r="J101" s="28" t="n">
        <v>19000000</v>
      </c>
      <c r="K101" s="29" t="n">
        <v>5259670</v>
      </c>
      <c r="L101" s="28" t="n">
        <v>19361000</v>
      </c>
      <c r="M101" s="29" t="n">
        <v>2245100</v>
      </c>
    </row>
    <row r="102" outlineLevel="1" ht="15.75" customHeight="1">
      <c r="A102" s="26" t="inlineStr">
        <is>
          <t>Venta de lácteos</t>
        </is>
      </c>
      <c r="B102" s="27" t="n">
        <v>200000000</v>
      </c>
      <c r="C102" s="27" t="n">
        <v>811329202</v>
      </c>
      <c r="D102" s="28" t="n">
        <v>730000000</v>
      </c>
      <c r="E102" s="29" t="n">
        <v>806161227</v>
      </c>
      <c r="F102" s="28" t="n">
        <v>800000000</v>
      </c>
      <c r="G102" s="29" t="n">
        <v>941702353</v>
      </c>
      <c r="H102" s="28" t="n">
        <v>1106065953</v>
      </c>
      <c r="I102" s="29" t="n">
        <v>990013685</v>
      </c>
      <c r="J102" s="28" t="n">
        <v>1348000000</v>
      </c>
      <c r="K102" s="29" t="n">
        <v>1087407586</v>
      </c>
      <c r="L102" s="28" t="n">
        <v>1913821685</v>
      </c>
      <c r="M102" s="29" t="n">
        <v>888944662</v>
      </c>
    </row>
    <row r="103" outlineLevel="1" ht="15.75" customHeight="1">
      <c r="A103" s="26" t="inlineStr">
        <is>
          <t>Venta otros productos</t>
        </is>
      </c>
      <c r="B103" s="27" t="n">
        <v>17400000</v>
      </c>
      <c r="C103" s="27" t="n">
        <v>3932000</v>
      </c>
      <c r="D103" s="28" t="n">
        <v>12000000</v>
      </c>
      <c r="E103" s="29" t="n">
        <v>58863500</v>
      </c>
      <c r="F103" s="28" t="n">
        <v>180500000</v>
      </c>
      <c r="G103" s="29" t="n">
        <v>82063750</v>
      </c>
      <c r="H103" s="28" t="n">
        <v>79381827</v>
      </c>
      <c r="I103" s="29" t="n">
        <v>95450859</v>
      </c>
      <c r="J103" s="28" t="n">
        <v>76000000</v>
      </c>
      <c r="K103" s="29" t="n">
        <v>7701300</v>
      </c>
      <c r="L103" s="28" t="n">
        <v>76031483</v>
      </c>
      <c r="M103" s="29" t="n">
        <v>9575135</v>
      </c>
    </row>
    <row r="104" outlineLevel="1" ht="15.75" customHeight="1">
      <c r="A104" s="26" t="inlineStr">
        <is>
          <t>Venta de plantas</t>
        </is>
      </c>
      <c r="B104" s="27" t="n"/>
      <c r="C104" s="27" t="n"/>
      <c r="D104" s="28" t="n"/>
      <c r="E104" s="29" t="n"/>
      <c r="F104" s="28" t="n">
        <v>0</v>
      </c>
      <c r="G104" s="29" t="n">
        <v>2703800</v>
      </c>
      <c r="H104" s="28" t="n">
        <v>0</v>
      </c>
      <c r="I104" s="29" t="n">
        <v>15710500</v>
      </c>
      <c r="J104" s="28" t="n">
        <v>0</v>
      </c>
      <c r="K104" s="29" t="n">
        <v>2978500</v>
      </c>
      <c r="L104" s="28" t="n">
        <v>0</v>
      </c>
      <c r="M104" s="29" t="n">
        <v>13000</v>
      </c>
    </row>
    <row r="105" ht="15.75" customHeight="1">
      <c r="A105" s="22" t="inlineStr">
        <is>
          <t>OPERACIONES INTERNAS POR VENTA DE BIENES</t>
        </is>
      </c>
      <c r="B105" s="23">
        <f>SUM(B106:B106)</f>
        <v/>
      </c>
      <c r="C105" s="23">
        <f>SUM(C106:C106)</f>
        <v/>
      </c>
      <c r="D105" s="24">
        <f>SUM(D106:D106)</f>
        <v/>
      </c>
      <c r="E105" s="25">
        <f>SUM(E106:E106)</f>
        <v/>
      </c>
      <c r="F105" s="24">
        <f>SUM(F106:F106)</f>
        <v/>
      </c>
      <c r="G105" s="25">
        <f>SUM(G106:G106)</f>
        <v/>
      </c>
      <c r="H105" s="24">
        <f>SUM(H106:H106)</f>
        <v/>
      </c>
      <c r="I105" s="25">
        <f>SUM(I106:I106)</f>
        <v/>
      </c>
      <c r="J105" s="24">
        <f>SUM(J106:J106)</f>
        <v/>
      </c>
      <c r="K105" s="25">
        <f>SUM(K106:K106)</f>
        <v/>
      </c>
      <c r="L105" s="24">
        <f>SUM(L106:L106)</f>
        <v/>
      </c>
      <c r="M105" s="25">
        <f>SUM(M106:M106)</f>
        <v/>
      </c>
    </row>
    <row r="106" outlineLevel="1" ht="15.75" customFormat="1" customHeight="1" s="34">
      <c r="A106" s="30" t="inlineStr">
        <is>
          <t>O.i  - venta de productos</t>
        </is>
      </c>
      <c r="B106" s="31" t="n">
        <v>290160000</v>
      </c>
      <c r="C106" s="31" t="n">
        <v>1740000</v>
      </c>
      <c r="D106" s="32" t="n">
        <v>1000000</v>
      </c>
      <c r="E106" s="33" t="n">
        <v>1839000</v>
      </c>
      <c r="F106" s="32" t="n">
        <v>0</v>
      </c>
      <c r="G106" s="33" t="n">
        <v>9302500</v>
      </c>
      <c r="H106" s="32" t="n">
        <v>0</v>
      </c>
      <c r="I106" s="33" t="n">
        <v>6739300</v>
      </c>
      <c r="J106" s="32" t="n">
        <v>5000000</v>
      </c>
      <c r="K106" s="33" t="n">
        <v>2372500</v>
      </c>
      <c r="L106" s="32" t="n">
        <v>0</v>
      </c>
      <c r="M106" s="33" t="n">
        <v>9510000</v>
      </c>
    </row>
    <row r="107" ht="15.75" customHeight="1">
      <c r="A107" s="22" t="inlineStr">
        <is>
          <t>OPERACIONES INTERNAS POR VENTA DE SERVICIOS</t>
        </is>
      </c>
      <c r="B107" s="23">
        <f>SUM(B108:B112)</f>
        <v/>
      </c>
      <c r="C107" s="23">
        <f>SUM(C108:C112)</f>
        <v/>
      </c>
      <c r="D107" s="24">
        <f>SUM(D108:D112)</f>
        <v/>
      </c>
      <c r="E107" s="25">
        <f>SUM(E108:E112)</f>
        <v/>
      </c>
      <c r="F107" s="24">
        <f>SUM(F108:F112)</f>
        <v/>
      </c>
      <c r="G107" s="25">
        <f>SUM(G108:G112)</f>
        <v/>
      </c>
      <c r="H107" s="24">
        <f>SUM(H108:H112)</f>
        <v/>
      </c>
      <c r="I107" s="25">
        <f>SUM(I108:I112)</f>
        <v/>
      </c>
      <c r="J107" s="24">
        <f>SUM(J108:J112)</f>
        <v/>
      </c>
      <c r="K107" s="25">
        <f>SUM(K108:K112)</f>
        <v/>
      </c>
      <c r="L107" s="24">
        <f>SUM(L108:L112)</f>
        <v/>
      </c>
      <c r="M107" s="25">
        <f>SUM(M108:M112)</f>
        <v/>
      </c>
    </row>
    <row r="108" outlineLevel="1" ht="15.75" customHeight="1">
      <c r="A108" s="26" t="inlineStr">
        <is>
          <t>O.i. - venta  servicios de extensión</t>
        </is>
      </c>
      <c r="B108" s="27" t="n">
        <v>648274600</v>
      </c>
      <c r="C108" s="27" t="n">
        <v>1154472132</v>
      </c>
      <c r="D108" s="28" t="n">
        <v>1273289638</v>
      </c>
      <c r="E108" s="29" t="n">
        <v>837447040</v>
      </c>
      <c r="F108" s="28" t="n">
        <v>2015286849</v>
      </c>
      <c r="G108" s="29" t="n">
        <v>1746001611</v>
      </c>
      <c r="H108" s="28" t="n">
        <v>1852560067</v>
      </c>
      <c r="I108" s="29" t="n">
        <v>1385070142</v>
      </c>
      <c r="J108" s="28" t="n">
        <v>1591239752</v>
      </c>
      <c r="K108" s="29" t="n">
        <v>1146272729</v>
      </c>
      <c r="L108" s="28" t="n">
        <v>1489144797</v>
      </c>
      <c r="M108" s="29" t="n">
        <v>1798253010</v>
      </c>
    </row>
    <row r="109" outlineLevel="1" ht="15.75" customHeight="1">
      <c r="A109" s="26" t="inlineStr">
        <is>
          <t>O.i. - venta  impresos y publicaciones</t>
        </is>
      </c>
      <c r="B109" s="27" t="n">
        <v>377360000</v>
      </c>
      <c r="C109" s="27" t="n">
        <v>111828461</v>
      </c>
      <c r="D109" s="28" t="n">
        <v>144209247</v>
      </c>
      <c r="E109" s="29" t="n">
        <v>158693299</v>
      </c>
      <c r="F109" s="28" t="n">
        <v>146201300</v>
      </c>
      <c r="G109" s="29" t="n">
        <v>70131224</v>
      </c>
      <c r="H109" s="28" t="n">
        <v>133739498</v>
      </c>
      <c r="I109" s="29" t="n">
        <v>99415338</v>
      </c>
      <c r="J109" s="28" t="n">
        <v>26500000</v>
      </c>
      <c r="K109" s="29" t="n">
        <v>55676290</v>
      </c>
      <c r="L109" s="28" t="n">
        <v>43100000</v>
      </c>
      <c r="M109" s="29" t="n">
        <v>47760685</v>
      </c>
    </row>
    <row r="110" outlineLevel="1" ht="15.75" customHeight="1">
      <c r="A110" s="26" t="inlineStr">
        <is>
          <t>O.i. - venta   arrendamientos</t>
        </is>
      </c>
      <c r="B110" s="27" t="n">
        <v>0</v>
      </c>
      <c r="C110" s="27" t="n">
        <v>230158222</v>
      </c>
      <c r="D110" s="28" t="n">
        <v>240000000</v>
      </c>
      <c r="E110" s="29" t="n">
        <v>57288120</v>
      </c>
      <c r="F110" s="28" t="n">
        <v>106604198</v>
      </c>
      <c r="G110" s="29" t="n">
        <v>231343354</v>
      </c>
      <c r="H110" s="28" t="n">
        <v>114179591</v>
      </c>
      <c r="I110" s="29" t="n">
        <v>34732949</v>
      </c>
      <c r="J110" s="28" t="n">
        <v>45000000</v>
      </c>
      <c r="K110" s="29" t="n">
        <v>45104808</v>
      </c>
      <c r="L110" s="28" t="n">
        <v>45095000</v>
      </c>
      <c r="M110" s="29" t="n">
        <v>40184082</v>
      </c>
    </row>
    <row r="111" outlineLevel="1" ht="15.75" customHeight="1">
      <c r="A111" s="26" t="inlineStr">
        <is>
          <t>O.i. - venta  servicios de comunicación</t>
        </is>
      </c>
      <c r="B111" s="27" t="n">
        <v>0</v>
      </c>
      <c r="C111" s="27" t="n">
        <v>6000000</v>
      </c>
      <c r="D111" s="28" t="n">
        <v>3000000</v>
      </c>
      <c r="E111" s="29" t="n">
        <v>0</v>
      </c>
      <c r="F111" s="28" t="n"/>
      <c r="G111" s="29" t="n"/>
      <c r="H111" s="28" t="n"/>
      <c r="I111" s="29" t="n"/>
      <c r="J111" s="28" t="n"/>
      <c r="K111" s="29" t="n"/>
      <c r="L111" s="28" t="n"/>
      <c r="M111" s="29" t="n"/>
    </row>
    <row r="112" outlineLevel="1" ht="15.75" customHeight="1">
      <c r="A112" s="26" t="inlineStr">
        <is>
          <t>O.i. - venta  por  otros  servicios</t>
        </is>
      </c>
      <c r="B112" s="27" t="n">
        <v>5000000</v>
      </c>
      <c r="C112" s="27" t="n">
        <v>53294046</v>
      </c>
      <c r="D112" s="28" t="n">
        <v>200000000</v>
      </c>
      <c r="E112" s="29" t="n">
        <v>100177640</v>
      </c>
      <c r="F112" s="28" t="n">
        <v>113386000</v>
      </c>
      <c r="G112" s="29" t="n">
        <v>92346159</v>
      </c>
      <c r="H112" s="28" t="n">
        <v>5000000</v>
      </c>
      <c r="I112" s="29" t="n">
        <v>5257000</v>
      </c>
      <c r="J112" s="28" t="n">
        <v>62800797</v>
      </c>
      <c r="K112" s="29" t="n">
        <v>8500000</v>
      </c>
      <c r="L112" s="28" t="n">
        <v>3500000</v>
      </c>
      <c r="M112" s="29" t="n">
        <v>0</v>
      </c>
    </row>
    <row r="113" ht="15.75" customHeight="1">
      <c r="A113" s="22" t="inlineStr">
        <is>
          <t>TRANSFERENCIAS ENTRE FONDOS SIN CONTRAPRESTACIÓN</t>
        </is>
      </c>
      <c r="B113" s="23">
        <f>SUM(B114:B114)</f>
        <v/>
      </c>
      <c r="C113" s="23">
        <f>SUM(C114:C114)</f>
        <v/>
      </c>
      <c r="D113" s="24">
        <f>SUM(D114:D114)</f>
        <v/>
      </c>
      <c r="E113" s="25">
        <f>SUM(E114:E114)</f>
        <v/>
      </c>
      <c r="F113" s="24">
        <f>SUM(F114:F114)</f>
        <v/>
      </c>
      <c r="G113" s="25">
        <f>SUM(G114:G114)</f>
        <v/>
      </c>
      <c r="H113" s="24">
        <f>SUM(H114:H114)</f>
        <v/>
      </c>
      <c r="I113" s="25">
        <f>SUM(I114:I114)</f>
        <v/>
      </c>
      <c r="J113" s="24">
        <f>SUM(J114:J114)</f>
        <v/>
      </c>
      <c r="K113" s="25">
        <f>SUM(K114:K114)</f>
        <v/>
      </c>
      <c r="L113" s="24">
        <f>SUM(L114:L114)</f>
        <v/>
      </c>
      <c r="M113" s="25">
        <f>SUM(M114:M114)</f>
        <v/>
      </c>
    </row>
    <row r="114" outlineLevel="1" ht="15.75" customHeight="1">
      <c r="A114" s="30" t="inlineStr">
        <is>
          <t>Transferencias o.i. sin contraprestación</t>
        </is>
      </c>
      <c r="B114" s="31" t="n">
        <v>3213275077</v>
      </c>
      <c r="C114" s="31" t="n">
        <v>5895080424</v>
      </c>
      <c r="D114" s="32" t="n">
        <v>2386340110</v>
      </c>
      <c r="E114" s="33" t="n">
        <v>4296702779</v>
      </c>
      <c r="F114" s="32" t="n">
        <v>2866754096</v>
      </c>
      <c r="G114" s="33" t="n">
        <v>5566976679</v>
      </c>
      <c r="H114" s="32" t="n">
        <v>4173189985</v>
      </c>
      <c r="I114" s="33" t="n">
        <v>5689818652</v>
      </c>
      <c r="J114" s="32" t="n">
        <v>7352382676</v>
      </c>
      <c r="K114" s="33" t="n">
        <v>5587452808</v>
      </c>
      <c r="L114" s="32" t="n">
        <v>4997305199</v>
      </c>
      <c r="M114" s="33" t="n">
        <v>6430802787</v>
      </c>
    </row>
    <row r="115" ht="15.75" customHeight="1">
      <c r="A115" s="22" t="inlineStr">
        <is>
          <t>TRANSFERENCIAS EXTENSION</t>
        </is>
      </c>
      <c r="B115" s="23">
        <f>SUM(B116:B121)</f>
        <v/>
      </c>
      <c r="C115" s="23">
        <f>SUM(C116:C121)</f>
        <v/>
      </c>
      <c r="D115" s="24">
        <f>SUM(D116:D121)</f>
        <v/>
      </c>
      <c r="E115" s="25">
        <f>SUM(E116:E121)</f>
        <v/>
      </c>
      <c r="F115" s="24">
        <f>SUM(F116:F121)</f>
        <v/>
      </c>
      <c r="G115" s="25">
        <f>SUM(G116:G121)</f>
        <v/>
      </c>
      <c r="H115" s="24">
        <f>SUM(H116:H121)</f>
        <v/>
      </c>
      <c r="I115" s="25">
        <f>SUM(I116:I121)</f>
        <v/>
      </c>
      <c r="J115" s="24">
        <f>SUM(J116:J121)</f>
        <v/>
      </c>
      <c r="K115" s="25">
        <f>SUM(K116:K121)</f>
        <v/>
      </c>
      <c r="L115" s="24">
        <f>SUM(L116:L121)</f>
        <v/>
      </c>
      <c r="M115" s="25">
        <f>SUM(M116:M121)</f>
        <v/>
      </c>
    </row>
    <row r="116" outlineLevel="1" ht="15.75" customHeight="1">
      <c r="A116" s="26" t="inlineStr">
        <is>
          <t>Transferencias o.i. costos indirectos</t>
        </is>
      </c>
      <c r="B116" s="27" t="n">
        <v>248899000</v>
      </c>
      <c r="C116" s="27" t="n">
        <v>312359093</v>
      </c>
      <c r="D116" s="28" t="n">
        <v>426658922</v>
      </c>
      <c r="E116" s="29" t="n">
        <v>359565693</v>
      </c>
      <c r="F116" s="28" t="n">
        <v>340621200</v>
      </c>
      <c r="G116" s="29" t="n">
        <v>384819680</v>
      </c>
      <c r="H116" s="28" t="n">
        <v>877423807</v>
      </c>
      <c r="I116" s="29" t="n">
        <v>321172803</v>
      </c>
      <c r="J116" s="28" t="n">
        <v>499894400</v>
      </c>
      <c r="K116" s="29" t="n">
        <v>550186191</v>
      </c>
      <c r="L116" s="28" t="n">
        <v>401872194</v>
      </c>
      <c r="M116" s="29" t="n">
        <v>334311077</v>
      </c>
    </row>
    <row r="117" outlineLevel="1" ht="15.75" customHeight="1">
      <c r="A117" s="26" t="inlineStr">
        <is>
          <t>Transferencias o.i. dirección académica</t>
        </is>
      </c>
      <c r="B117" s="27" t="n">
        <v>1601358969</v>
      </c>
      <c r="C117" s="27" t="n">
        <v>1277012410</v>
      </c>
      <c r="D117" s="28" t="n">
        <v>1488704218</v>
      </c>
      <c r="E117" s="29" t="n">
        <v>1488704218</v>
      </c>
      <c r="F117" s="28" t="n">
        <v>1933266200</v>
      </c>
      <c r="G117" s="29" t="n">
        <v>1469793645</v>
      </c>
      <c r="H117" s="28" t="n">
        <v>972399706</v>
      </c>
      <c r="I117" s="29" t="n">
        <v>1414532271</v>
      </c>
      <c r="J117" s="28" t="n">
        <v>1091900900</v>
      </c>
      <c r="K117" s="29" t="n">
        <v>2167362531</v>
      </c>
      <c r="L117" s="28" t="n">
        <v>1391014791</v>
      </c>
      <c r="M117" s="29" t="n">
        <v>1568313642</v>
      </c>
    </row>
    <row r="118" outlineLevel="1" ht="15.75" customHeight="1">
      <c r="A118" s="26" t="inlineStr">
        <is>
          <t>Transferencias o.i. excedentes por actividades generadoras de recursos</t>
        </is>
      </c>
      <c r="B118" s="27" t="n">
        <v>11576993481</v>
      </c>
      <c r="C118" s="27" t="n">
        <v>9115901077</v>
      </c>
      <c r="D118" s="28" t="n">
        <v>10681917715</v>
      </c>
      <c r="E118" s="29" t="n">
        <v>10775415240</v>
      </c>
      <c r="F118" s="28" t="n">
        <v>13340993633</v>
      </c>
      <c r="G118" s="29" t="n">
        <v>7660249798</v>
      </c>
      <c r="H118" s="28" t="n">
        <v>13327594039</v>
      </c>
      <c r="I118" s="29" t="n">
        <v>8942177152</v>
      </c>
      <c r="J118" s="28" t="n">
        <v>11108838633</v>
      </c>
      <c r="K118" s="29" t="n">
        <v>8769216007</v>
      </c>
      <c r="L118" s="28" t="n">
        <v>12329439728</v>
      </c>
      <c r="M118" s="29" t="n">
        <v>7456383982</v>
      </c>
    </row>
    <row r="119" outlineLevel="1" ht="15.75" customHeight="1">
      <c r="A119" s="26" t="inlineStr">
        <is>
          <t>Transferencias o.i. dirección de extensión de la sede</t>
        </is>
      </c>
      <c r="B119" s="27" t="n">
        <v>161943897</v>
      </c>
      <c r="C119" s="27" t="n">
        <v>117190666</v>
      </c>
      <c r="D119" s="28" t="n">
        <v>90387791</v>
      </c>
      <c r="E119" s="29" t="n">
        <v>148870426</v>
      </c>
      <c r="F119" s="28" t="n">
        <v>193326800</v>
      </c>
      <c r="G119" s="29" t="n">
        <v>150536266</v>
      </c>
      <c r="H119" s="28" t="n">
        <v>145049225</v>
      </c>
      <c r="I119" s="29" t="n">
        <v>140458752</v>
      </c>
      <c r="J119" s="28" t="n">
        <v>109190300</v>
      </c>
      <c r="K119" s="29" t="n">
        <v>216723056</v>
      </c>
      <c r="L119" s="28" t="n">
        <v>139101479</v>
      </c>
      <c r="M119" s="29" t="n">
        <v>155282808</v>
      </c>
    </row>
    <row r="120" outlineLevel="1" ht="15.75" customHeight="1">
      <c r="A120" s="26" t="inlineStr">
        <is>
          <t>Transferencias o.i. fondo nacional de extensión solidaria</t>
        </is>
      </c>
      <c r="B120" s="27" t="n"/>
      <c r="C120" s="27" t="n"/>
      <c r="D120" s="28" t="n"/>
      <c r="E120" s="29" t="n"/>
      <c r="F120" s="28" t="n"/>
      <c r="G120" s="29" t="n"/>
      <c r="H120" s="28" t="n"/>
      <c r="I120" s="29" t="n"/>
      <c r="J120" s="28" t="n">
        <v>300000000</v>
      </c>
      <c r="K120" s="29" t="n">
        <v>300000000</v>
      </c>
      <c r="L120" s="28" t="n"/>
      <c r="M120" s="29" t="n"/>
    </row>
    <row r="121" outlineLevel="1" ht="15.75" customHeight="1">
      <c r="A121" s="26" t="inlineStr">
        <is>
          <t>Transferencias o.i. fondo de riesgos para la extensión</t>
        </is>
      </c>
      <c r="B121" s="27" t="n"/>
      <c r="C121" s="27" t="n"/>
      <c r="D121" s="28" t="n"/>
      <c r="E121" s="29" t="n"/>
      <c r="F121" s="28" t="n"/>
      <c r="G121" s="29" t="n"/>
      <c r="H121" s="28" t="n"/>
      <c r="I121" s="29" t="n"/>
      <c r="J121" s="28" t="n">
        <v>38104924</v>
      </c>
      <c r="K121" s="29" t="n">
        <v>38104924</v>
      </c>
      <c r="L121" s="28" t="n"/>
      <c r="M121" s="29" t="n"/>
    </row>
    <row r="122" ht="15.75" customHeight="1">
      <c r="A122" s="22" t="inlineStr">
        <is>
          <t>OTROS INGRESOS</t>
        </is>
      </c>
      <c r="B122" s="23">
        <f>SUM(B123:B126)</f>
        <v/>
      </c>
      <c r="C122" s="23">
        <f>SUM(C123:C126)</f>
        <v/>
      </c>
      <c r="D122" s="24">
        <f>SUM(D123:D126)</f>
        <v/>
      </c>
      <c r="E122" s="25">
        <f>SUM(E123:E126)</f>
        <v/>
      </c>
      <c r="F122" s="24">
        <f>SUM(F123:F126)</f>
        <v/>
      </c>
      <c r="G122" s="25">
        <f>SUM(G123:G126)</f>
        <v/>
      </c>
      <c r="H122" s="24">
        <f>SUM(H123:H126)</f>
        <v/>
      </c>
      <c r="I122" s="25">
        <f>SUM(I123:I126)</f>
        <v/>
      </c>
      <c r="J122" s="24">
        <f>SUM(J123:J126)</f>
        <v/>
      </c>
      <c r="K122" s="25">
        <f>SUM(K123:K126)</f>
        <v/>
      </c>
      <c r="L122" s="24">
        <f>SUM(L123:L126)</f>
        <v/>
      </c>
      <c r="M122" s="25">
        <f>SUM(M123:M126)</f>
        <v/>
      </c>
    </row>
    <row r="123" outlineLevel="1" ht="15.75" customHeight="1">
      <c r="A123" s="26" t="inlineStr">
        <is>
          <t>Multas</t>
        </is>
      </c>
      <c r="B123" s="27" t="n">
        <v>0</v>
      </c>
      <c r="C123" s="27" t="n">
        <v>70762425</v>
      </c>
      <c r="D123" s="28" t="n">
        <v>45528163</v>
      </c>
      <c r="E123" s="29" t="n">
        <v>49917706</v>
      </c>
      <c r="F123" s="28" t="n">
        <v>42500000</v>
      </c>
      <c r="G123" s="29" t="n">
        <v>42690602</v>
      </c>
      <c r="H123" s="28" t="n">
        <v>41500000</v>
      </c>
      <c r="I123" s="29" t="n">
        <v>55784931</v>
      </c>
      <c r="J123" s="28" t="n">
        <v>50000000</v>
      </c>
      <c r="K123" s="29" t="n">
        <v>12962002</v>
      </c>
      <c r="L123" s="28" t="n">
        <v>20000000</v>
      </c>
      <c r="M123" s="29" t="n">
        <v>2063312</v>
      </c>
    </row>
    <row r="124" outlineLevel="1" ht="15.75" customHeight="1">
      <c r="A124" s="26" t="inlineStr">
        <is>
          <t>Recuperaciones</t>
        </is>
      </c>
      <c r="B124" s="27" t="n">
        <v>0</v>
      </c>
      <c r="C124" s="27" t="n">
        <v>34599726</v>
      </c>
      <c r="D124" s="28" t="n">
        <v>970200</v>
      </c>
      <c r="E124" s="29" t="n">
        <v>193904376</v>
      </c>
      <c r="F124" s="28" t="n">
        <v>0</v>
      </c>
      <c r="G124" s="29" t="n">
        <v>108850949</v>
      </c>
      <c r="H124" s="28" t="n">
        <v>31000000</v>
      </c>
      <c r="I124" s="29" t="n">
        <v>124375909</v>
      </c>
      <c r="J124" s="28" t="n">
        <v>12090000</v>
      </c>
      <c r="K124" s="29" t="n">
        <v>11557322</v>
      </c>
      <c r="L124" s="28" t="n">
        <v>0</v>
      </c>
      <c r="M124" s="29" t="n">
        <v>63372228</v>
      </c>
    </row>
    <row r="125" outlineLevel="1" ht="15.75" customHeight="1">
      <c r="A125" s="26" t="inlineStr">
        <is>
          <t>Otros</t>
        </is>
      </c>
      <c r="B125" s="27" t="n">
        <v>208287025</v>
      </c>
      <c r="C125" s="27" t="n">
        <v>606962869</v>
      </c>
      <c r="D125" s="28" t="n">
        <v>207751018</v>
      </c>
      <c r="E125" s="29" t="n">
        <v>336802033</v>
      </c>
      <c r="F125" s="28" t="n">
        <v>1405435607</v>
      </c>
      <c r="G125" s="29" t="n">
        <v>2879131500</v>
      </c>
      <c r="H125" s="28" t="n">
        <v>369126475</v>
      </c>
      <c r="I125" s="29" t="n">
        <v>1279020033</v>
      </c>
      <c r="J125" s="28" t="n">
        <v>188500000</v>
      </c>
      <c r="K125" s="29" t="n">
        <v>343892913</v>
      </c>
      <c r="L125" s="28" t="n">
        <v>254215785</v>
      </c>
      <c r="M125" s="29" t="n">
        <v>532757875</v>
      </c>
    </row>
    <row r="126" outlineLevel="1" ht="15.75" customHeight="1">
      <c r="A126" s="26" t="inlineStr">
        <is>
          <t>Devolución iva</t>
        </is>
      </c>
      <c r="B126" s="27" t="n"/>
      <c r="C126" s="27" t="n"/>
      <c r="D126" s="28" t="n"/>
      <c r="E126" s="29" t="n"/>
      <c r="F126" s="28" t="n">
        <v>263143532</v>
      </c>
      <c r="G126" s="29" t="n">
        <v>791230227</v>
      </c>
      <c r="H126" s="28" t="n">
        <v>1225838470</v>
      </c>
      <c r="I126" s="29" t="n">
        <v>1006455475</v>
      </c>
      <c r="J126" s="28" t="n">
        <v>733075351</v>
      </c>
      <c r="K126" s="29" t="n">
        <v>1029870275</v>
      </c>
      <c r="L126" s="28" t="n">
        <v>643329805</v>
      </c>
      <c r="M126" s="29" t="n">
        <v>651633367</v>
      </c>
    </row>
    <row r="127" ht="15.75" customHeight="1">
      <c r="A127" s="22" t="inlineStr">
        <is>
          <t>EXCEDENTES DE SALDOS DE CONVENIOS Y CONTRATOS DE INVESTIGACION</t>
        </is>
      </c>
      <c r="B127" s="23">
        <f>SUM(B128:B128)</f>
        <v/>
      </c>
      <c r="C127" s="23">
        <f>SUM(C128:C128)</f>
        <v/>
      </c>
      <c r="D127" s="24">
        <f>SUM(D128:D128)</f>
        <v/>
      </c>
      <c r="E127" s="25">
        <f>SUM(E128:E128)</f>
        <v/>
      </c>
      <c r="F127" s="24">
        <f>SUM(F128:F128)</f>
        <v/>
      </c>
      <c r="G127" s="25">
        <f>SUM(G128:G128)</f>
        <v/>
      </c>
      <c r="H127" s="24">
        <f>SUM(H128:H128)</f>
        <v/>
      </c>
      <c r="I127" s="25">
        <f>SUM(I128:I128)</f>
        <v/>
      </c>
      <c r="J127" s="24">
        <f>SUM(J128:J128)</f>
        <v/>
      </c>
      <c r="K127" s="25">
        <f>SUM(K128:K128)</f>
        <v/>
      </c>
      <c r="L127" s="24">
        <f>SUM(L128:L128)</f>
        <v/>
      </c>
      <c r="M127" s="25">
        <f>SUM(M128:M128)</f>
        <v/>
      </c>
    </row>
    <row r="128" outlineLevel="1" ht="15.75" customFormat="1" customHeight="1" s="34">
      <c r="A128" s="30" t="inlineStr">
        <is>
          <t>Excedentes de saldos de convenios y contratos de investigacion</t>
        </is>
      </c>
      <c r="B128" s="31" t="n">
        <v>0</v>
      </c>
      <c r="C128" s="31" t="n">
        <v>66364778</v>
      </c>
      <c r="D128" s="32" t="n">
        <v>94656034</v>
      </c>
      <c r="E128" s="33" t="n">
        <v>249012123</v>
      </c>
      <c r="F128" s="32" t="n">
        <v>37229200</v>
      </c>
      <c r="G128" s="33" t="n">
        <v>92661136</v>
      </c>
      <c r="H128" s="32" t="n">
        <v>182333100</v>
      </c>
      <c r="I128" s="33" t="n">
        <v>21115796</v>
      </c>
      <c r="J128" s="32" t="n">
        <v>2000000</v>
      </c>
      <c r="K128" s="33" t="n">
        <v>1965986</v>
      </c>
      <c r="L128" s="32" t="n">
        <v>0</v>
      </c>
      <c r="M128" s="33" t="n">
        <v>21183880</v>
      </c>
    </row>
    <row r="129" ht="15.75" customHeight="1">
      <c r="A129" s="18" t="inlineStr">
        <is>
          <t>2. Recursos de capital</t>
        </is>
      </c>
      <c r="B129" s="19">
        <f>+B130+B132+B137+B139</f>
        <v/>
      </c>
      <c r="C129" s="19">
        <f>+C130+C132+C137+C139</f>
        <v/>
      </c>
      <c r="D129" s="73">
        <f>+D130+D132+D137+D139</f>
        <v/>
      </c>
      <c r="E129" s="21">
        <f>+E130+E132+E137+E139</f>
        <v/>
      </c>
      <c r="F129" s="73">
        <f>+F130+F132+F137+F139</f>
        <v/>
      </c>
      <c r="G129" s="74">
        <f>+G130+G132+G137+G139</f>
        <v/>
      </c>
      <c r="H129" s="73">
        <f>+H130+H132+H137+H139</f>
        <v/>
      </c>
      <c r="I129" s="74">
        <f>+I130+I132+I137+I139</f>
        <v/>
      </c>
      <c r="J129" s="73">
        <f>+J130+J132+J137+J139</f>
        <v/>
      </c>
      <c r="K129" s="74">
        <f>+K130+K132+K137+K139</f>
        <v/>
      </c>
      <c r="L129" s="73">
        <f>+L130+L132+L137+L139</f>
        <v/>
      </c>
      <c r="M129" s="74">
        <f>+M130+M132+M137+M139</f>
        <v/>
      </c>
    </row>
    <row r="130" ht="15.75" customHeight="1">
      <c r="A130" s="22" t="inlineStr">
        <is>
          <t>RENDIMIENTOS FINANCIEROS</t>
        </is>
      </c>
      <c r="B130" s="52">
        <f>SUM(B131:B131)</f>
        <v/>
      </c>
      <c r="C130" s="52">
        <f>SUM(C131:C131)</f>
        <v/>
      </c>
      <c r="D130" s="53">
        <f>SUM(D131:D131)</f>
        <v/>
      </c>
      <c r="E130" s="54">
        <f>SUM(E131:E131)</f>
        <v/>
      </c>
      <c r="F130" s="53">
        <f>SUM(F131:F131)</f>
        <v/>
      </c>
      <c r="G130" s="54">
        <f>SUM(G131:G131)</f>
        <v/>
      </c>
      <c r="H130" s="53">
        <f>SUM(H131:H131)</f>
        <v/>
      </c>
      <c r="I130" s="54">
        <f>SUM(I131:I131)</f>
        <v/>
      </c>
      <c r="J130" s="53">
        <f>SUM(J131:J131)</f>
        <v/>
      </c>
      <c r="K130" s="54">
        <f>SUM(K131:K131)</f>
        <v/>
      </c>
      <c r="L130" s="53">
        <f>SUM(L131:L131)</f>
        <v/>
      </c>
      <c r="M130" s="54">
        <f>SUM(M131:M131)</f>
        <v/>
      </c>
    </row>
    <row r="131" outlineLevel="1" ht="15.75" customHeight="1">
      <c r="A131" s="30" t="inlineStr">
        <is>
          <t>Rendimientos entidades financieras</t>
        </is>
      </c>
      <c r="B131" s="31" t="n">
        <v>1790095199</v>
      </c>
      <c r="C131" s="31" t="n">
        <v>3498460391</v>
      </c>
      <c r="D131" s="32" t="n">
        <v>2315000000</v>
      </c>
      <c r="E131" s="33" t="n">
        <v>2771245436</v>
      </c>
      <c r="F131" s="32" t="n">
        <v>2421000000</v>
      </c>
      <c r="G131" s="33" t="n">
        <v>1984707410</v>
      </c>
      <c r="H131" s="32" t="n">
        <v>1866000000</v>
      </c>
      <c r="I131" s="33" t="n">
        <v>2060446591</v>
      </c>
      <c r="J131" s="32" t="n">
        <v>1906382449</v>
      </c>
      <c r="K131" s="33" t="n">
        <v>993016368</v>
      </c>
      <c r="L131" s="32" t="n">
        <v>1056500000</v>
      </c>
      <c r="M131" s="33" t="n">
        <v>740379939</v>
      </c>
    </row>
    <row r="132" ht="15.75" customHeight="1">
      <c r="A132" s="22" t="inlineStr">
        <is>
          <t>EXCEDENTES FINANCIEROS</t>
        </is>
      </c>
      <c r="B132" s="52">
        <f>SUM(B133:B136)</f>
        <v/>
      </c>
      <c r="C132" s="52">
        <f>SUM(C133:C136)</f>
        <v/>
      </c>
      <c r="D132" s="53">
        <f>SUM(D133:D136)</f>
        <v/>
      </c>
      <c r="E132" s="54">
        <f>SUM(E133:E136)</f>
        <v/>
      </c>
      <c r="F132" s="53">
        <f>SUM(F133:F136)</f>
        <v/>
      </c>
      <c r="G132" s="54">
        <f>SUM(G133:G136)</f>
        <v/>
      </c>
      <c r="H132" s="53">
        <f>SUM(H133:H136)</f>
        <v/>
      </c>
      <c r="I132" s="54">
        <f>SUM(I133:I136)</f>
        <v/>
      </c>
      <c r="J132" s="53">
        <f>SUM(J133:J136)</f>
        <v/>
      </c>
      <c r="K132" s="54">
        <f>SUM(K133:K136)</f>
        <v/>
      </c>
      <c r="L132" s="53">
        <f>SUM(L133:L136)</f>
        <v/>
      </c>
      <c r="M132" s="54">
        <f>SUM(M133:M136)</f>
        <v/>
      </c>
    </row>
    <row r="133" outlineLevel="1" ht="15.75" customHeight="1">
      <c r="A133" s="26" t="inlineStr">
        <is>
          <t>Excedente financiero - destinación regulada</t>
        </is>
      </c>
      <c r="B133" s="55" t="n">
        <v>5948525065</v>
      </c>
      <c r="C133" s="55" t="n">
        <v>5948525065</v>
      </c>
      <c r="D133" s="56" t="n">
        <v>7151080085</v>
      </c>
      <c r="E133" s="57" t="n">
        <v>7151080085</v>
      </c>
      <c r="F133" s="56" t="n">
        <v>7976314761</v>
      </c>
      <c r="G133" s="57" t="n">
        <v>7976314761</v>
      </c>
      <c r="H133" s="56" t="n">
        <v>6136288891</v>
      </c>
      <c r="I133" s="57" t="n">
        <v>6135510773</v>
      </c>
      <c r="J133" s="56" t="n">
        <v>6881344505</v>
      </c>
      <c r="K133" s="57" t="n">
        <v>6433778343</v>
      </c>
      <c r="L133" s="56" t="n">
        <v>8575668049</v>
      </c>
      <c r="M133" s="57" t="n">
        <v>8567267579</v>
      </c>
    </row>
    <row r="134" outlineLevel="1" ht="15.75" customHeight="1">
      <c r="A134" s="26" t="inlineStr">
        <is>
          <t>Saldos de apropiación de convenios y contratos en ejecución</t>
        </is>
      </c>
      <c r="B134" s="55" t="n">
        <v>26756617871</v>
      </c>
      <c r="C134" s="55" t="n">
        <v>26750364188</v>
      </c>
      <c r="D134" s="56" t="n">
        <v>31112549854</v>
      </c>
      <c r="E134" s="57" t="n">
        <v>31072732227</v>
      </c>
      <c r="F134" s="56" t="n">
        <v>29760019521</v>
      </c>
      <c r="G134" s="57" t="n">
        <v>29735028249</v>
      </c>
      <c r="H134" s="56" t="n">
        <v>32186165589</v>
      </c>
      <c r="I134" s="57" t="n">
        <v>32132397981</v>
      </c>
      <c r="J134" s="56" t="n">
        <v>33586185880</v>
      </c>
      <c r="K134" s="57" t="n">
        <v>33304605711</v>
      </c>
      <c r="L134" s="56" t="n">
        <v>32282147300</v>
      </c>
      <c r="M134" s="57" t="n">
        <v>32282144891</v>
      </c>
    </row>
    <row r="135" outlineLevel="1" ht="15.75" customHeight="1">
      <c r="A135" s="26" t="inlineStr">
        <is>
          <t>Excedente del  fondo  nacional de  extensión solidaria y  del fondo de riesgos para la extensión</t>
        </is>
      </c>
      <c r="B135" s="55" t="n">
        <v>224002320</v>
      </c>
      <c r="C135" s="55" t="n">
        <v>224002320</v>
      </c>
      <c r="D135" s="56" t="n">
        <v>536262592</v>
      </c>
      <c r="E135" s="57" t="n">
        <v>536262592</v>
      </c>
      <c r="F135" s="56" t="n">
        <v>391197318</v>
      </c>
      <c r="G135" s="57" t="n">
        <v>391197318</v>
      </c>
      <c r="H135" s="56" t="n">
        <v>637709911</v>
      </c>
      <c r="I135" s="57" t="n">
        <v>637709911</v>
      </c>
      <c r="J135" s="56" t="n">
        <v>404641278</v>
      </c>
      <c r="K135" s="57" t="n">
        <v>404641278</v>
      </c>
      <c r="L135" s="56" t="n">
        <v>928576607</v>
      </c>
      <c r="M135" s="57" t="n">
        <v>928576607</v>
      </c>
    </row>
    <row r="136" outlineLevel="1" ht="15.75" customHeight="1">
      <c r="A136" s="26" t="inlineStr">
        <is>
          <t>EXCEDENTE FINANCIERO - ESPECÍFICA UGI FONDO</t>
        </is>
      </c>
      <c r="B136" s="55" t="n">
        <v>2113628563</v>
      </c>
      <c r="C136" s="55" t="n">
        <v>2111748835</v>
      </c>
      <c r="D136" s="56" t="n">
        <v>2657164264</v>
      </c>
      <c r="E136" s="57" t="n">
        <v>2655448150</v>
      </c>
      <c r="F136" s="56" t="n">
        <v>2346442931</v>
      </c>
      <c r="G136" s="57" t="n">
        <v>2312930969</v>
      </c>
      <c r="H136" s="56" t="n">
        <v>3012519798</v>
      </c>
      <c r="I136" s="57" t="n">
        <v>3011398510</v>
      </c>
      <c r="J136" s="56" t="n">
        <v>2598954141</v>
      </c>
      <c r="K136" s="57" t="n">
        <v>2598134070</v>
      </c>
      <c r="L136" s="56" t="n">
        <v>4414801883</v>
      </c>
      <c r="M136" s="57" t="n">
        <v>4412562029</v>
      </c>
    </row>
    <row r="137" ht="15.75" customHeight="1">
      <c r="A137" s="22" t="inlineStr">
        <is>
          <t>DONACIONES</t>
        </is>
      </c>
      <c r="B137" s="52">
        <f>SUM(B138:B138)</f>
        <v/>
      </c>
      <c r="C137" s="52">
        <f>SUM(C138:C138)</f>
        <v/>
      </c>
      <c r="D137" s="75">
        <f>SUM(D138:D138)</f>
        <v/>
      </c>
      <c r="E137" s="76">
        <f>SUM(E138:E138)</f>
        <v/>
      </c>
      <c r="F137" s="75">
        <f>SUM(F138:F138)</f>
        <v/>
      </c>
      <c r="G137" s="76">
        <f>SUM(G138:G138)</f>
        <v/>
      </c>
      <c r="H137" s="75">
        <f>SUM(H138:H138)</f>
        <v/>
      </c>
      <c r="I137" s="76">
        <f>SUM(I138:I138)</f>
        <v/>
      </c>
      <c r="J137" s="75">
        <f>SUM(J138:J138)</f>
        <v/>
      </c>
      <c r="K137" s="76">
        <f>SUM(K138:K138)</f>
        <v/>
      </c>
      <c r="L137" s="75" t="n"/>
      <c r="M137" s="76" t="n"/>
    </row>
    <row r="138" outlineLevel="1" ht="15.75" customFormat="1" customHeight="1" s="34">
      <c r="A138" s="30" t="inlineStr">
        <is>
          <t>Donaciones en dinero</t>
        </is>
      </c>
      <c r="B138" s="31" t="n">
        <v>10000000</v>
      </c>
      <c r="C138" s="31" t="n">
        <v>0</v>
      </c>
      <c r="D138" s="32" t="n">
        <v>10000000</v>
      </c>
      <c r="E138" s="33" t="n">
        <v>0</v>
      </c>
      <c r="F138" s="32" t="n">
        <v>10165425</v>
      </c>
      <c r="G138" s="33" t="n">
        <v>12043909</v>
      </c>
      <c r="H138" s="32" t="n">
        <v>626500000</v>
      </c>
      <c r="I138" s="33" t="n">
        <v>725121322</v>
      </c>
      <c r="J138" s="32" t="n">
        <v>2000000000</v>
      </c>
      <c r="K138" s="33" t="n">
        <v>3269409187</v>
      </c>
      <c r="L138" s="32" t="n"/>
      <c r="M138" s="33" t="n"/>
    </row>
    <row r="139" ht="15.75" customHeight="1">
      <c r="A139" s="22" t="inlineStr">
        <is>
          <t>RECUPERACIÓN DE CARTERA</t>
        </is>
      </c>
      <c r="B139" s="52" t="n"/>
      <c r="C139" s="52" t="n"/>
      <c r="D139" s="53" t="n"/>
      <c r="E139" s="54" t="n"/>
      <c r="F139" s="53" t="n"/>
      <c r="G139" s="54" t="n"/>
      <c r="H139" s="53" t="n">
        <v>0</v>
      </c>
      <c r="I139" s="54">
        <f>SUM(I140:I140)</f>
        <v/>
      </c>
      <c r="J139" s="53" t="n"/>
      <c r="K139" s="54" t="n"/>
      <c r="L139" s="53" t="n"/>
      <c r="M139" s="54" t="n"/>
    </row>
    <row r="140" outlineLevel="1" ht="15.75" customFormat="1" customHeight="1" s="34">
      <c r="A140" s="43" t="inlineStr">
        <is>
          <t>Recuperación de cartera</t>
        </is>
      </c>
      <c r="B140" s="58" t="n"/>
      <c r="C140" s="58" t="n"/>
      <c r="D140" s="59" t="n"/>
      <c r="E140" s="60" t="n"/>
      <c r="F140" s="59" t="n"/>
      <c r="G140" s="60" t="n"/>
      <c r="H140" s="59" t="n"/>
      <c r="I140" s="60" t="n">
        <v>100000</v>
      </c>
      <c r="J140" s="59" t="n"/>
      <c r="K140" s="60" t="n"/>
      <c r="L140" s="59" t="n"/>
      <c r="M140" s="60" t="n"/>
    </row>
  </sheetData>
  <mergeCells count="8">
    <mergeCell ref="F3:G3"/>
    <mergeCell ref="L3:M3"/>
    <mergeCell ref="J3:K3"/>
    <mergeCell ref="A1:M2"/>
    <mergeCell ref="B3:C3"/>
    <mergeCell ref="A3:A4"/>
    <mergeCell ref="D3:E3"/>
    <mergeCell ref="H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Lucio Muñoz Adarme</dc:creator>
  <dcterms:created xmlns:dcterms="http://purl.org/dc/terms/" xmlns:xsi="http://www.w3.org/2001/XMLSchema-instance" xsi:type="dcterms:W3CDTF">2024-12-12T06:23:00Z</dcterms:created>
  <dcterms:modified xmlns:dcterms="http://purl.org/dc/terms/" xmlns:xsi="http://www.w3.org/2001/XMLSchema-instance" xsi:type="dcterms:W3CDTF">2026-09-21T20:10:01Z</dcterms:modified>
  <cp:lastModifiedBy>Lucio Muñoz Adarme</cp:lastModifiedBy>
</cp:coreProperties>
</file>