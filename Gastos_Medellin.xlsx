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8A5FA258-7DD9-8742-9925-3960C2AECA33}" xr6:coauthVersionLast="47" xr6:coauthVersionMax="47" xr10:uidLastSave="{00000000-0000-0000-0000-000000000000}"/>
  <workbookProtection lockStructure="1"/>
  <bookViews>
    <workbookView xWindow="0" yWindow="660" windowWidth="37300" windowHeight="190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B35" i="1"/>
  <c r="C35" i="1"/>
  <c r="B29" i="1"/>
  <c r="B30" i="1"/>
  <c r="M118" i="1"/>
  <c r="L118" i="1"/>
  <c r="K118" i="1"/>
  <c r="J118" i="1"/>
  <c r="I118" i="1"/>
  <c r="H118" i="1"/>
  <c r="G118" i="1"/>
  <c r="F118" i="1"/>
  <c r="F90" i="1" s="1"/>
  <c r="E118" i="1"/>
  <c r="E90" i="1" s="1"/>
  <c r="D118" i="1"/>
  <c r="C118" i="1"/>
  <c r="B118" i="1"/>
  <c r="M106" i="1"/>
  <c r="L106" i="1"/>
  <c r="K106" i="1"/>
  <c r="J106" i="1"/>
  <c r="I106" i="1"/>
  <c r="H106" i="1"/>
  <c r="G106" i="1"/>
  <c r="G90" i="1" s="1"/>
  <c r="F106" i="1"/>
  <c r="E106" i="1"/>
  <c r="D106" i="1"/>
  <c r="C106" i="1"/>
  <c r="B106" i="1"/>
  <c r="M91" i="1"/>
  <c r="L91" i="1"/>
  <c r="K91" i="1"/>
  <c r="J91" i="1"/>
  <c r="J90" i="1" s="1"/>
  <c r="I91" i="1"/>
  <c r="I90" i="1" s="1"/>
  <c r="H91" i="1"/>
  <c r="H90" i="1" s="1"/>
  <c r="G91" i="1"/>
  <c r="F91" i="1"/>
  <c r="E91" i="1"/>
  <c r="D91" i="1"/>
  <c r="C91" i="1"/>
  <c r="B91" i="1"/>
  <c r="M90" i="1"/>
  <c r="L90" i="1"/>
  <c r="K90" i="1"/>
  <c r="D90" i="1"/>
  <c r="C90" i="1"/>
  <c r="B90" i="1"/>
  <c r="M84" i="1"/>
  <c r="L84" i="1"/>
  <c r="K84" i="1"/>
  <c r="J84" i="1"/>
  <c r="I84" i="1"/>
  <c r="H84" i="1"/>
  <c r="M78" i="1"/>
  <c r="L78" i="1"/>
  <c r="K78" i="1"/>
  <c r="J78" i="1"/>
  <c r="I78" i="1"/>
  <c r="H78" i="1"/>
  <c r="E78" i="1"/>
  <c r="D78" i="1"/>
  <c r="C78" i="1"/>
  <c r="B78" i="1"/>
  <c r="G73" i="1"/>
  <c r="F73" i="1"/>
  <c r="E73" i="1"/>
  <c r="D73" i="1"/>
  <c r="C73" i="1"/>
  <c r="B73" i="1"/>
  <c r="G68" i="1"/>
  <c r="F68" i="1"/>
  <c r="E68" i="1"/>
  <c r="D68" i="1"/>
  <c r="C68" i="1"/>
  <c r="B68" i="1"/>
  <c r="M59" i="1"/>
  <c r="L59" i="1"/>
  <c r="K59" i="1"/>
  <c r="K29" i="1" s="1"/>
  <c r="J59" i="1"/>
  <c r="H59" i="1"/>
  <c r="G59" i="1"/>
  <c r="F59" i="1"/>
  <c r="E59" i="1"/>
  <c r="D59" i="1"/>
  <c r="C59" i="1"/>
  <c r="B59" i="1"/>
  <c r="M54" i="1"/>
  <c r="L54" i="1"/>
  <c r="K54" i="1"/>
  <c r="J54" i="1"/>
  <c r="I54" i="1"/>
  <c r="H54" i="1"/>
  <c r="G54" i="1"/>
  <c r="F54" i="1"/>
  <c r="E54" i="1"/>
  <c r="D54" i="1"/>
  <c r="C54" i="1"/>
  <c r="B54" i="1"/>
  <c r="M46" i="1"/>
  <c r="L46" i="1"/>
  <c r="K46" i="1"/>
  <c r="J46" i="1"/>
  <c r="I46" i="1"/>
  <c r="H46" i="1"/>
  <c r="G46" i="1"/>
  <c r="F46" i="1"/>
  <c r="E46" i="1"/>
  <c r="D46" i="1"/>
  <c r="C46" i="1"/>
  <c r="B46" i="1"/>
  <c r="M41" i="1"/>
  <c r="L41" i="1"/>
  <c r="L29" i="1" s="1"/>
  <c r="G41" i="1"/>
  <c r="F41" i="1"/>
  <c r="E41" i="1"/>
  <c r="D41" i="1"/>
  <c r="C41" i="1"/>
  <c r="B41" i="1"/>
  <c r="M35" i="1"/>
  <c r="L35" i="1"/>
  <c r="K35" i="1"/>
  <c r="J35" i="1"/>
  <c r="J29" i="1" s="1"/>
  <c r="I35" i="1"/>
  <c r="I29" i="1" s="1"/>
  <c r="H35" i="1"/>
  <c r="H29" i="1" s="1"/>
  <c r="G35" i="1"/>
  <c r="G29" i="1" s="1"/>
  <c r="F35" i="1"/>
  <c r="F29" i="1" s="1"/>
  <c r="E35" i="1"/>
  <c r="E29" i="1" s="1"/>
  <c r="D35" i="1"/>
  <c r="I30" i="1"/>
  <c r="H30" i="1"/>
  <c r="G30" i="1"/>
  <c r="F30" i="1"/>
  <c r="E30" i="1"/>
  <c r="D30" i="1"/>
  <c r="C30" i="1"/>
  <c r="M29" i="1"/>
  <c r="D29" i="1"/>
  <c r="C29" i="1"/>
  <c r="M21" i="1"/>
  <c r="L21" i="1"/>
  <c r="K21" i="1"/>
  <c r="J21" i="1"/>
  <c r="I21" i="1"/>
  <c r="H21" i="1"/>
  <c r="G21" i="1"/>
  <c r="F21" i="1"/>
  <c r="F7" i="1" s="1"/>
  <c r="F6" i="1" s="1"/>
  <c r="E21" i="1"/>
  <c r="E7" i="1" s="1"/>
  <c r="E6" i="1" s="1"/>
  <c r="D21" i="1"/>
  <c r="C21" i="1"/>
  <c r="B21" i="1"/>
  <c r="M16" i="1"/>
  <c r="L16" i="1"/>
  <c r="K16" i="1"/>
  <c r="J16" i="1"/>
  <c r="I16" i="1"/>
  <c r="H16" i="1"/>
  <c r="G16" i="1"/>
  <c r="G7" i="1" s="1"/>
  <c r="G6" i="1" s="1"/>
  <c r="F16" i="1"/>
  <c r="E16" i="1"/>
  <c r="D16" i="1"/>
  <c r="C16" i="1"/>
  <c r="B16" i="1"/>
  <c r="M8" i="1"/>
  <c r="L8" i="1"/>
  <c r="K8" i="1"/>
  <c r="J8" i="1"/>
  <c r="J7" i="1" s="1"/>
  <c r="I8" i="1"/>
  <c r="I7" i="1" s="1"/>
  <c r="H8" i="1"/>
  <c r="H7" i="1" s="1"/>
  <c r="H6" i="1" s="1"/>
  <c r="H5" i="1" s="1"/>
  <c r="G8" i="1"/>
  <c r="F8" i="1"/>
  <c r="E8" i="1"/>
  <c r="D8" i="1"/>
  <c r="C8" i="1"/>
  <c r="B8" i="1"/>
  <c r="M7" i="1"/>
  <c r="L7" i="1"/>
  <c r="K7" i="1"/>
  <c r="K6" i="1" s="1"/>
  <c r="K5" i="1" s="1"/>
  <c r="D7" i="1"/>
  <c r="C7" i="1"/>
  <c r="B7" i="1"/>
  <c r="M6" i="1"/>
  <c r="M5" i="1" s="1"/>
  <c r="D6" i="1"/>
  <c r="D5" i="1" s="1"/>
  <c r="C6" i="1"/>
  <c r="C5" i="1" s="1"/>
  <c r="B6" i="1" l="1"/>
  <c r="B5" i="1" s="1"/>
  <c r="L6" i="1"/>
  <c r="L5" i="1" s="1"/>
  <c r="I6" i="1"/>
  <c r="I5" i="1" s="1"/>
  <c r="E5" i="1"/>
  <c r="F5" i="1"/>
  <c r="G5" i="1"/>
  <c r="J6" i="1"/>
  <c r="J5" i="1" s="1"/>
</calcChain>
</file>

<file path=xl/sharedStrings.xml><?xml version="1.0" encoding="utf-8"?>
<sst xmlns="http://schemas.openxmlformats.org/spreadsheetml/2006/main" count="137" uniqueCount="81">
  <si>
    <t>UNIDAD GESTION GENERAL MEDELLIN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</si>
  <si>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</si>
  <si>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</si>
  <si>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</si>
  <si>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</si>
  <si>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</si>
  <si>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</si>
  <si>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</si>
  <si>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ASOCIADOS A NOMINA</t>
  </si>
  <si>
    <t>BONIFICACIONES</t>
  </si>
  <si>
    <t>AUXILIOS</t>
  </si>
  <si>
    <t>PRIMAS</t>
  </si>
  <si>
    <t>SERVICIOS PERSONALES INDIRECTOS</t>
  </si>
  <si>
    <t>CONTRIBUCIONES INHERENTES A LA NOMINA - SECTOR PRIVADO</t>
  </si>
  <si>
    <t>CONTRIBUCIONES INHERENTES A LA NOMINA - SECTOR PÚBLICO</t>
  </si>
  <si>
    <t>GASTOS GENERALES</t>
  </si>
  <si>
    <t>ADQUISICIÓN DE BIENES</t>
  </si>
  <si>
    <t>ADQUISICIÓN DE SERVICIOS</t>
  </si>
  <si>
    <t>IMPUESTOS, CONTRIBUCIONES Y MULTAS</t>
  </si>
  <si>
    <t>OPERACIONES INTERNAS POR ADQUISICION DE SERVICIOS</t>
  </si>
  <si>
    <t>TRANSFERENCIAS</t>
  </si>
  <si>
    <t>BIENESTAR ESTUDIANTES</t>
  </si>
  <si>
    <t>BIENESTAR EMPLEADOS UN</t>
  </si>
  <si>
    <t>TRANSFERENCIAS OPERACIONES INTERNAS SIN CONTRAPRESTACIÓN</t>
  </si>
  <si>
    <t>ADMINISTRACIÓN PUBLICA CENTRAL</t>
  </si>
  <si>
    <t>SENTENCIAS Y CONCILIACIONES</t>
  </si>
  <si>
    <t>VIGENCIAS EXPIRADAS FUNCIONAMIENTO</t>
  </si>
  <si>
    <t>II. Inversion</t>
  </si>
  <si>
    <t>ADQUS. Y/O PRODUCC. DE EQUIPOS, MATER. SUMINIS. Y SERVICIOS PROPIOS DEL SECTOR</t>
  </si>
  <si>
    <t>DIVULGACIÓN, ASISTENCIA TÉCNICA Y CAPACITACIÓN DEL RECURSO HUMANO.</t>
  </si>
  <si>
    <t>OTRAS TRANSFERENCIAS</t>
  </si>
  <si>
    <t>PROTECCIÓN Y BIENESTAR SOCIAL DEL RECURSO HUMANO</t>
  </si>
  <si>
    <t>ADMINIST., CONTROL Y ORGANIZACIÓN INSTITUCIONAL PARA APOYO A LA ADMINISTRACION DEL ESTADO</t>
  </si>
  <si>
    <t>PRESUPUESTO POR DISTRIBUIR - ADMINIST., CONTROL Y ORGANIZACIÓN INSTITUCIONAL PARA APOYO A LA ADMINIS. DEL ESTADO</t>
  </si>
  <si>
    <t xml:space="preserve">IMPUESTOS, CONTRIBUCIONES Y MULTAS </t>
  </si>
  <si>
    <t>CONSTRUCCIÓN DE INFRAESTRUCTURA PROPIA DEL SECTOR</t>
  </si>
  <si>
    <t>VIGENCIAS EXPIRADAS GASTOS DE INVERSIÓN</t>
  </si>
  <si>
    <t>INVESTIGACION APLICADA A ESTUDIOS</t>
  </si>
  <si>
    <t>PRESUPUESTO POR DISTRIBUIR - INVESTIGACION APLICADA A ESTUDIOS</t>
  </si>
  <si>
    <t>LEVANTAMIENTO DE INFORMACIÓN PARA PROCESAMIENTO</t>
  </si>
  <si>
    <t>ASIST TÉCNICA DIVULG Y CAPACIT A FUNC DEL ESTADO PARA APOYO A LA ADMINIS DEL ESTADO</t>
  </si>
  <si>
    <t>MEJORAMIENTO Y MANTENIMIENTO DE INFRAESTRUCTURA PROPIA DEL SECTOR</t>
  </si>
  <si>
    <t>PRESUPUESTO POR DISTRIBUIR - MEJORAMIENTO Y MANTENIMIENTO DE INFRAESTRUCTURA PROPIA DEL SECTOR</t>
  </si>
  <si>
    <t>ESTUDIOS DE PRE INVERSIÓN</t>
  </si>
  <si>
    <t xml:space="preserve">OPERACIONES INTERNAS POR ADQUISICION DE SERVICIOS </t>
  </si>
  <si>
    <t>- FONDOS ESPECIALES</t>
  </si>
  <si>
    <t>GASTOS DESTINACION REGULADA</t>
  </si>
  <si>
    <t>BONIFICACIONES - REGULADA</t>
  </si>
  <si>
    <t>SERVICIOS PERSONALES INDIRECTOS - REGULADA</t>
  </si>
  <si>
    <t>ADQUISICIÓN DE BIENES - REGULADA</t>
  </si>
  <si>
    <t>ADQUISICIÓN DE SERVICIOS REGULADA</t>
  </si>
  <si>
    <t>OPERACIONES INTERNAS POR  ADQUISICION DE BIENES  -REGULADA</t>
  </si>
  <si>
    <t>OPERACIONES INTERNAS POR ADQUISICION DE SERVICIOS - REGULADA</t>
  </si>
  <si>
    <t>IMPUESTOS , CONTRIBUCIONES  Y MULTAS REGULADA</t>
  </si>
  <si>
    <t>BIENESTAR ESTUDIANTES REGULADA</t>
  </si>
  <si>
    <t>TRANSFERENCIAS OPERACIONES INTERNAS SIN CONTRAPRESTACIÓN REGULADA</t>
  </si>
  <si>
    <t>PRESUPUESTO POR DISTRIBUIR - REGULADA</t>
  </si>
  <si>
    <t>APORTES SALUD  REGULADA</t>
  </si>
  <si>
    <t>BECAS ESTUDIANTES REGULADA</t>
  </si>
  <si>
    <t>OTRAS TRANSFERENCIAS - REGULADA</t>
  </si>
  <si>
    <t>GASTOS DE DESTINACIÓN ESPECIFICA</t>
  </si>
  <si>
    <t>SERVICIOS PERSONALES INDIRECTOS - ESPECIFICA</t>
  </si>
  <si>
    <t>ADQUISICIÓN DE BIENES - ESPECIFICA</t>
  </si>
  <si>
    <t>ADQUISICIÓN DE SERVICIOS ESPECIFICA</t>
  </si>
  <si>
    <t>OPERACIONES INTERNAS POR ADQUISICION DE SERVICIOS ESPECIFICA</t>
  </si>
  <si>
    <t>IMPUESTOS, CONTRIBUCIONES   Y MULTAS - ESPECIFICA</t>
  </si>
  <si>
    <t>TRANSFERENCIAS ENTRE FONDOS SIN CONTRAPRESTACIÓN - ESPECIFICA</t>
  </si>
  <si>
    <t>TRANSFERENCIAS EXTENSION  - ESPECIFICA</t>
  </si>
  <si>
    <t>OPERACIONES INTERNAS POR  ADQUISICION DE BIENES  ESPECIFICA</t>
  </si>
  <si>
    <t>BIENESTAR ESTUDIANTES ESPECIFICA</t>
  </si>
  <si>
    <t>PRESPUESTO POR DISTRIBUIR - GASTOS DE DESTINACIÓN ESPECÍFICA</t>
  </si>
  <si>
    <t>GASTOS DE DESTINACION ESPECIFICA  UGI FONDO</t>
  </si>
  <si>
    <t>SERVICIOS PERSONALES INDIRECTOS - ESPECIFICA UGI FONDO</t>
  </si>
  <si>
    <t>ADQUISICIÓN DE BIENES ESPECIFICA UGI FONDO</t>
  </si>
  <si>
    <t>ADQUISICIÓN DE SERVICIOS ESPECIFICA UGI FONDO</t>
  </si>
  <si>
    <t>OPERACIONES INTERNAS POR ADQUISICION DE SERVICIOS ESPECIFICA UGI FONDO</t>
  </si>
  <si>
    <t>IMPUESTOS , CONTRIBUCIONES  Y MULTAS ESPECIFICA  UGI FONDO</t>
  </si>
  <si>
    <t>TRANSFERENCIAS ENTRE FONDOS SIN CONTRAPRESTACIÓN - ESPECIFICA UGI FONDO</t>
  </si>
  <si>
    <t>PRESUPUESTO POR DISTRIBUIR - ESPECIFICA UGI FONDO</t>
  </si>
  <si>
    <t>OTRAS TRANSFERENCIAS ESPECIFICA UGI FONDO</t>
  </si>
  <si>
    <t>OPERACIONES INTERNAS POR  ADQUISICION DE BIENES  ESPECIFICA -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</si>
</sst>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4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164" fontId="5" fillId="3" borderId="6" xfId="0" applyNumberFormat="1" applyFont="1" applyFill="1" applyBorder="1"/>
    <xf numFmtId="164" fontId="5" fillId="3" borderId="7" xfId="0" applyNumberFormat="1" applyFont="1" applyFill="1" applyBorder="1"/>
    <xf numFmtId="0" fontId="6" fillId="4" borderId="6" xfId="0" quotePrefix="1" applyFont="1" applyFill="1" applyBorder="1"/>
    <xf numFmtId="164" fontId="6" fillId="4" borderId="6" xfId="0" applyNumberFormat="1" applyFont="1" applyFill="1" applyBorder="1"/>
    <xf numFmtId="164" fontId="6" fillId="4" borderId="7" xfId="0" applyNumberFormat="1" applyFont="1" applyFill="1" applyBorder="1"/>
    <xf numFmtId="0" fontId="3" fillId="5" borderId="4" xfId="0" applyFont="1" applyFill="1" applyBorder="1"/>
    <xf numFmtId="164" fontId="3" fillId="5" borderId="6" xfId="0" applyNumberFormat="1" applyFont="1" applyFill="1" applyBorder="1"/>
    <xf numFmtId="164" fontId="3" fillId="5" borderId="1" xfId="0" applyNumberFormat="1" applyFont="1" applyFill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0" borderId="8" xfId="0" applyBorder="1" applyAlignment="1">
      <alignment horizontal="left" indent="3"/>
    </xf>
    <xf numFmtId="164" fontId="0" fillId="0" borderId="8" xfId="1" applyNumberFormat="1" applyFont="1" applyBorder="1" applyAlignment="1">
      <alignment horizontal="left" indent="3"/>
    </xf>
    <xf numFmtId="164" fontId="0" fillId="0" borderId="9" xfId="1" applyNumberFormat="1" applyFont="1" applyBorder="1" applyAlignment="1">
      <alignment horizontal="left" indent="3"/>
    </xf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3" fillId="5" borderId="7" xfId="0" applyNumberFormat="1" applyFont="1" applyFill="1" applyBorder="1"/>
    <xf numFmtId="0" fontId="0" fillId="0" borderId="9" xfId="0" applyBorder="1"/>
    <xf numFmtId="0" fontId="0" fillId="0" borderId="10" xfId="0" applyBorder="1" applyAlignment="1">
      <alignment horizontal="left" vertical="center" wrapText="1" indent="3"/>
    </xf>
    <xf numFmtId="164" fontId="0" fillId="0" borderId="8" xfId="1" applyNumberFormat="1" applyFont="1" applyBorder="1" applyAlignment="1">
      <alignment horizontal="left" vertical="center" wrapText="1" indent="3"/>
    </xf>
    <xf numFmtId="0" fontId="0" fillId="0" borderId="9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5" xfId="1" applyNumberFormat="1" applyFont="1" applyBorder="1" applyAlignment="1">
      <alignment horizontal="left" indent="3"/>
    </xf>
    <xf numFmtId="0" fontId="2" fillId="2" borderId="11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" fillId="2" borderId="6" xfId="0" applyFont="1" applyFill="1" applyBorder="1" applyAlignment="1">
      <alignment horizontal="center" vertical="center"/>
    </xf>
    <xf numFmtId="0" fontId="0" fillId="0" borderId="4" xfId="0" applyBorder="1"/>
    <xf numFmtId="164" fontId="0" fillId="0" borderId="8" xfId="1" applyNumberFormat="1" applyFont="1" applyFill="1" applyBorder="1"/>
    <xf numFmtId="164" fontId="0" fillId="0" borderId="9" xfId="1" applyNumberFormat="1" applyFont="1" applyFill="1" applyBorder="1"/>
    <xf numFmtId="164" fontId="0" fillId="0" borderId="8" xfId="1" applyNumberFormat="1" applyFont="1" applyFill="1" applyBorder="1" applyAlignment="1">
      <alignment horizontal="left" indent="3"/>
    </xf>
    <xf numFmtId="164" fontId="0" fillId="0" borderId="9" xfId="1" applyNumberFormat="1" applyFont="1" applyFill="1" applyBorder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"/>
  <sheetViews>
    <sheetView tabSelected="1" zoomScale="70" zoomScaleNormal="70" workbookViewId="0">
      <selection activeCell="I58" sqref="I58:I60"/>
    </sheetView>
  </sheetViews>
  <sheetFormatPr baseColWidth="10" defaultColWidth="0" defaultRowHeight="15" zeroHeight="1" outlineLevelRow="1" x14ac:dyDescent="0.2"/>
  <cols>
    <col min="1" max="1" width="47.83203125" customWidth="1"/>
    <col min="2" max="8" width="24.5" bestFit="1" customWidth="1"/>
    <col min="9" max="9" width="22" bestFit="1" customWidth="1"/>
    <col min="10" max="13" width="24.5" bestFit="1" customWidth="1"/>
    <col min="14" max="20" width="0" hidden="1" customWidth="1"/>
    <col min="21" max="21" width="11.5" hidden="1" customWidth="1"/>
    <col min="22" max="16384" width="11.5" hidden="1"/>
  </cols>
  <sheetData>
    <row r="1" spans="1:13" x14ac:dyDescent="0.2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2">
      <c r="A3" s="36" t="s">
        <v>1</v>
      </c>
      <c r="B3" s="31">
        <v>2016</v>
      </c>
      <c r="C3" s="32"/>
      <c r="D3" s="31">
        <v>2017</v>
      </c>
      <c r="E3" s="32"/>
      <c r="F3" s="31">
        <v>2018</v>
      </c>
      <c r="G3" s="32"/>
      <c r="H3" s="31">
        <v>2019</v>
      </c>
      <c r="I3" s="32"/>
      <c r="J3" s="31">
        <v>2020</v>
      </c>
      <c r="K3" s="32"/>
      <c r="L3" s="31">
        <v>2021</v>
      </c>
      <c r="M3" s="32"/>
    </row>
    <row r="4" spans="1:13" x14ac:dyDescent="0.2">
      <c r="A4" s="37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4">
        <f t="shared" ref="B5:M5" si="0">+B6+B90</f>
        <v>258740079556</v>
      </c>
      <c r="C5" s="4">
        <f t="shared" si="0"/>
        <v>236109464442</v>
      </c>
      <c r="D5" s="4">
        <f t="shared" si="0"/>
        <v>292035094986</v>
      </c>
      <c r="E5" s="5">
        <f t="shared" si="0"/>
        <v>265028738258</v>
      </c>
      <c r="F5" s="4">
        <f t="shared" si="0"/>
        <v>303843143707</v>
      </c>
      <c r="G5" s="5">
        <f t="shared" si="0"/>
        <v>261888159712</v>
      </c>
      <c r="H5" s="4">
        <f t="shared" si="0"/>
        <v>313754040721</v>
      </c>
      <c r="I5" s="4">
        <f t="shared" si="0"/>
        <v>274371738636</v>
      </c>
      <c r="J5" s="4">
        <f t="shared" si="0"/>
        <v>348838883439</v>
      </c>
      <c r="K5" s="5">
        <f t="shared" si="0"/>
        <v>264211898878</v>
      </c>
      <c r="L5" s="4">
        <f t="shared" si="0"/>
        <v>363911168834</v>
      </c>
      <c r="M5" s="5">
        <f t="shared" si="0"/>
        <v>299056432807</v>
      </c>
    </row>
    <row r="6" spans="1:13" ht="15.75" customHeight="1" x14ac:dyDescent="0.2">
      <c r="A6" s="6" t="s">
        <v>5</v>
      </c>
      <c r="B6" s="7">
        <f t="shared" ref="B6:M6" si="1">+B7+B29</f>
        <v>147161300902</v>
      </c>
      <c r="C6" s="7">
        <f t="shared" si="1"/>
        <v>145598295578</v>
      </c>
      <c r="D6" s="7">
        <f t="shared" si="1"/>
        <v>169302076860</v>
      </c>
      <c r="E6" s="8">
        <f t="shared" si="1"/>
        <v>167824722885</v>
      </c>
      <c r="F6" s="7">
        <f t="shared" si="1"/>
        <v>173159103069</v>
      </c>
      <c r="G6" s="8">
        <f t="shared" si="1"/>
        <v>170185725301</v>
      </c>
      <c r="H6" s="7">
        <f t="shared" si="1"/>
        <v>180905684185</v>
      </c>
      <c r="I6" s="7">
        <f t="shared" si="1"/>
        <v>170523912990</v>
      </c>
      <c r="J6" s="7">
        <f t="shared" si="1"/>
        <v>194940675558</v>
      </c>
      <c r="K6" s="8">
        <f t="shared" si="1"/>
        <v>178227294219</v>
      </c>
      <c r="L6" s="7">
        <f t="shared" si="1"/>
        <v>206950082895</v>
      </c>
      <c r="M6" s="8">
        <f t="shared" si="1"/>
        <v>195319030870</v>
      </c>
    </row>
    <row r="7" spans="1:13" x14ac:dyDescent="0.2">
      <c r="A7" s="9" t="s">
        <v>6</v>
      </c>
      <c r="B7" s="10">
        <f t="shared" ref="B7:M7" si="2">+B8+B16+B21+B28</f>
        <v>127651538869</v>
      </c>
      <c r="C7" s="11">
        <f t="shared" si="2"/>
        <v>127306547905</v>
      </c>
      <c r="D7" s="10">
        <f t="shared" si="2"/>
        <v>145502617209</v>
      </c>
      <c r="E7" s="11">
        <f t="shared" si="2"/>
        <v>145076112920</v>
      </c>
      <c r="F7" s="10">
        <f t="shared" si="2"/>
        <v>152930444300</v>
      </c>
      <c r="G7" s="11">
        <f t="shared" si="2"/>
        <v>151812213591</v>
      </c>
      <c r="H7" s="10">
        <f t="shared" si="2"/>
        <v>165974280962</v>
      </c>
      <c r="I7" s="11">
        <f t="shared" si="2"/>
        <v>164645902610</v>
      </c>
      <c r="J7" s="10">
        <f t="shared" si="2"/>
        <v>171272161520</v>
      </c>
      <c r="K7" s="11">
        <f t="shared" si="2"/>
        <v>164115052508</v>
      </c>
      <c r="L7" s="10">
        <f t="shared" si="2"/>
        <v>177384394731</v>
      </c>
      <c r="M7" s="11">
        <f t="shared" si="2"/>
        <v>176158423628</v>
      </c>
    </row>
    <row r="8" spans="1:13" ht="15.75" customHeight="1" x14ac:dyDescent="0.2">
      <c r="A8" s="12" t="s">
        <v>7</v>
      </c>
      <c r="B8" s="13">
        <f t="shared" ref="B8:M8" si="3">SUM(B9:B15)</f>
        <v>111766159185</v>
      </c>
      <c r="C8" s="14">
        <f t="shared" si="3"/>
        <v>111549103496</v>
      </c>
      <c r="D8" s="13">
        <f t="shared" si="3"/>
        <v>128038510001</v>
      </c>
      <c r="E8" s="14">
        <f t="shared" si="3"/>
        <v>127787743228</v>
      </c>
      <c r="F8" s="13">
        <f t="shared" si="3"/>
        <v>133637633613</v>
      </c>
      <c r="G8" s="14">
        <f t="shared" si="3"/>
        <v>133143919874</v>
      </c>
      <c r="H8" s="13">
        <f t="shared" si="3"/>
        <v>147236678042</v>
      </c>
      <c r="I8" s="14">
        <f t="shared" si="3"/>
        <v>147019520678</v>
      </c>
      <c r="J8" s="13">
        <f t="shared" si="3"/>
        <v>152474495585</v>
      </c>
      <c r="K8" s="14">
        <f t="shared" si="3"/>
        <v>151451185863</v>
      </c>
      <c r="L8" s="13">
        <f t="shared" si="3"/>
        <v>160255907003</v>
      </c>
      <c r="M8" s="14">
        <f t="shared" si="3"/>
        <v>159810014528</v>
      </c>
    </row>
    <row r="9" spans="1:13" ht="15.75" customHeight="1" outlineLevel="1" x14ac:dyDescent="0.2">
      <c r="A9" s="15" t="s">
        <v>8</v>
      </c>
      <c r="B9" s="16">
        <v>67673129607</v>
      </c>
      <c r="C9" s="17">
        <v>67668589707</v>
      </c>
      <c r="D9" s="16">
        <v>75805606768</v>
      </c>
      <c r="E9" s="17">
        <v>75805606768</v>
      </c>
      <c r="F9" s="16">
        <v>79099058737</v>
      </c>
      <c r="G9" s="17">
        <v>79099058737</v>
      </c>
      <c r="H9" s="16">
        <v>86541041686</v>
      </c>
      <c r="I9" s="17">
        <v>86454087099</v>
      </c>
      <c r="J9" s="16">
        <v>90074381884</v>
      </c>
      <c r="K9" s="17">
        <v>90074381884</v>
      </c>
      <c r="L9" s="16">
        <v>91794378113</v>
      </c>
      <c r="M9" s="17">
        <v>91794378113</v>
      </c>
    </row>
    <row r="10" spans="1:13" ht="15.75" customHeight="1" outlineLevel="1" x14ac:dyDescent="0.2">
      <c r="A10" s="15" t="s">
        <v>9</v>
      </c>
      <c r="B10" s="16">
        <v>4940412909</v>
      </c>
      <c r="C10" s="17">
        <v>4940412909</v>
      </c>
      <c r="D10" s="16">
        <v>5357407526</v>
      </c>
      <c r="E10" s="17">
        <v>5352607526</v>
      </c>
      <c r="F10" s="16">
        <v>5442435020</v>
      </c>
      <c r="G10" s="17">
        <v>5442435020</v>
      </c>
      <c r="H10" s="16">
        <v>5583323658</v>
      </c>
      <c r="I10" s="17">
        <v>5583323658</v>
      </c>
      <c r="J10" s="16">
        <v>5820029853</v>
      </c>
      <c r="K10" s="17">
        <v>5820029853</v>
      </c>
      <c r="L10" s="16">
        <v>6075743468</v>
      </c>
      <c r="M10" s="17">
        <v>6075743468</v>
      </c>
    </row>
    <row r="11" spans="1:13" ht="15.75" customHeight="1" outlineLevel="1" x14ac:dyDescent="0.2">
      <c r="A11" s="15" t="s">
        <v>10</v>
      </c>
      <c r="B11" s="16">
        <v>30653728</v>
      </c>
      <c r="C11" s="17">
        <v>30653728</v>
      </c>
      <c r="D11" s="16">
        <v>33148966</v>
      </c>
      <c r="E11" s="17">
        <v>33148966</v>
      </c>
      <c r="F11" s="16">
        <v>34203920</v>
      </c>
      <c r="G11" s="17">
        <v>34203920</v>
      </c>
      <c r="H11" s="16">
        <v>37267965</v>
      </c>
      <c r="I11" s="17">
        <v>37267965</v>
      </c>
      <c r="J11" s="16">
        <v>26635350</v>
      </c>
      <c r="K11" s="17">
        <v>26635350</v>
      </c>
      <c r="L11" s="16">
        <v>31144753</v>
      </c>
      <c r="M11" s="17">
        <v>31144753</v>
      </c>
    </row>
    <row r="12" spans="1:13" ht="15.75" customHeight="1" outlineLevel="1" x14ac:dyDescent="0.2">
      <c r="A12" s="15" t="s">
        <v>11</v>
      </c>
      <c r="B12" s="16">
        <v>17473803514</v>
      </c>
      <c r="C12" s="17">
        <v>17473803514</v>
      </c>
      <c r="D12" s="16">
        <v>19222622737</v>
      </c>
      <c r="E12" s="17">
        <v>19222622737</v>
      </c>
      <c r="F12" s="16">
        <v>20720335259</v>
      </c>
      <c r="G12" s="17">
        <v>20720335259</v>
      </c>
      <c r="H12" s="16">
        <v>21837885137</v>
      </c>
      <c r="I12" s="17">
        <v>21837885137</v>
      </c>
      <c r="J12" s="16">
        <v>23175626278</v>
      </c>
      <c r="K12" s="17">
        <v>23175626278</v>
      </c>
      <c r="L12" s="16">
        <v>23954053634</v>
      </c>
      <c r="M12" s="17">
        <v>23954053634</v>
      </c>
    </row>
    <row r="13" spans="1:13" ht="15.75" customHeight="1" outlineLevel="1" x14ac:dyDescent="0.2">
      <c r="A13" s="15" t="s">
        <v>12</v>
      </c>
      <c r="B13" s="16">
        <v>3383538253</v>
      </c>
      <c r="C13" s="17">
        <v>3171022464</v>
      </c>
      <c r="D13" s="16">
        <v>3754727213</v>
      </c>
      <c r="E13" s="17">
        <v>3508760440</v>
      </c>
      <c r="F13" s="16">
        <v>4359123627</v>
      </c>
      <c r="G13" s="17">
        <v>3865409888</v>
      </c>
      <c r="H13" s="16">
        <v>7872327743</v>
      </c>
      <c r="I13" s="17">
        <v>7742124966</v>
      </c>
      <c r="J13" s="16">
        <v>6538555790</v>
      </c>
      <c r="K13" s="17">
        <v>5515246068</v>
      </c>
      <c r="L13" s="16">
        <v>10393598201</v>
      </c>
      <c r="M13" s="17">
        <v>9947705726</v>
      </c>
    </row>
    <row r="14" spans="1:13" ht="15.75" customHeight="1" outlineLevel="1" x14ac:dyDescent="0.2">
      <c r="A14" s="15" t="s">
        <v>13</v>
      </c>
      <c r="B14" s="16">
        <v>5961684866</v>
      </c>
      <c r="C14" s="17">
        <v>5961684866</v>
      </c>
      <c r="D14" s="16">
        <v>7576538930</v>
      </c>
      <c r="E14" s="17">
        <v>7576538930</v>
      </c>
      <c r="F14" s="16">
        <v>7373281649</v>
      </c>
      <c r="G14" s="17">
        <v>7373281649</v>
      </c>
      <c r="H14" s="16">
        <v>7456943498</v>
      </c>
      <c r="I14" s="17">
        <v>7456943498</v>
      </c>
      <c r="J14" s="16">
        <v>7651430252</v>
      </c>
      <c r="K14" s="17">
        <v>7651430252</v>
      </c>
      <c r="L14" s="16">
        <v>7783067139</v>
      </c>
      <c r="M14" s="17">
        <v>7783067139</v>
      </c>
    </row>
    <row r="15" spans="1:13" ht="15.75" customHeight="1" outlineLevel="1" x14ac:dyDescent="0.2">
      <c r="A15" s="15" t="s">
        <v>14</v>
      </c>
      <c r="B15" s="16">
        <v>12302936308</v>
      </c>
      <c r="C15" s="17">
        <v>12302936308</v>
      </c>
      <c r="D15" s="16">
        <v>16288457861</v>
      </c>
      <c r="E15" s="17">
        <v>16288457861</v>
      </c>
      <c r="F15" s="16">
        <v>16609195401</v>
      </c>
      <c r="G15" s="17">
        <v>16609195401</v>
      </c>
      <c r="H15" s="16">
        <v>17907888355</v>
      </c>
      <c r="I15" s="17">
        <v>17907888355</v>
      </c>
      <c r="J15" s="16">
        <v>19187836178</v>
      </c>
      <c r="K15" s="17">
        <v>19187836178</v>
      </c>
      <c r="L15" s="16">
        <v>20223921695</v>
      </c>
      <c r="M15" s="17">
        <v>20223921695</v>
      </c>
    </row>
    <row r="16" spans="1:13" ht="15.75" customHeight="1" x14ac:dyDescent="0.2">
      <c r="A16" s="18" t="s">
        <v>15</v>
      </c>
      <c r="B16" s="19">
        <f t="shared" ref="B16:M16" si="4">SUM(B17:B20)</f>
        <v>14104012637</v>
      </c>
      <c r="C16" s="20">
        <f t="shared" si="4"/>
        <v>13997618230</v>
      </c>
      <c r="D16" s="19">
        <f t="shared" si="4"/>
        <v>15066792964</v>
      </c>
      <c r="E16" s="20">
        <f t="shared" si="4"/>
        <v>14944998797</v>
      </c>
      <c r="F16" s="19">
        <f t="shared" si="4"/>
        <v>16381262325</v>
      </c>
      <c r="G16" s="20">
        <f t="shared" si="4"/>
        <v>15910351122</v>
      </c>
      <c r="H16" s="19">
        <f t="shared" si="4"/>
        <v>15290143199</v>
      </c>
      <c r="I16" s="20">
        <f t="shared" si="4"/>
        <v>14362078223</v>
      </c>
      <c r="J16" s="19">
        <f t="shared" si="4"/>
        <v>15519381542</v>
      </c>
      <c r="K16" s="20">
        <f t="shared" si="4"/>
        <v>11355072772</v>
      </c>
      <c r="L16" s="19">
        <f t="shared" si="4"/>
        <v>13822102326</v>
      </c>
      <c r="M16" s="20">
        <f t="shared" si="4"/>
        <v>13451125440</v>
      </c>
    </row>
    <row r="17" spans="1:13" ht="15.75" customHeight="1" outlineLevel="1" x14ac:dyDescent="0.2">
      <c r="A17" s="15" t="s">
        <v>16</v>
      </c>
      <c r="B17" s="16">
        <v>2453961080</v>
      </c>
      <c r="C17" s="17">
        <v>2449189354</v>
      </c>
      <c r="D17" s="16">
        <v>3097391594</v>
      </c>
      <c r="E17" s="17">
        <v>3054830024</v>
      </c>
      <c r="F17" s="16">
        <v>3012067313</v>
      </c>
      <c r="G17" s="17">
        <v>2843350305</v>
      </c>
      <c r="H17" s="16">
        <v>2135302256</v>
      </c>
      <c r="I17" s="17">
        <v>1731272309</v>
      </c>
      <c r="J17" s="16">
        <v>1696953669</v>
      </c>
      <c r="K17" s="17">
        <v>1203735230</v>
      </c>
      <c r="L17" s="16">
        <v>2002616714</v>
      </c>
      <c r="M17" s="17">
        <v>1699247912</v>
      </c>
    </row>
    <row r="18" spans="1:13" ht="15.75" customHeight="1" outlineLevel="1" x14ac:dyDescent="0.2">
      <c r="A18" s="15" t="s">
        <v>17</v>
      </c>
      <c r="B18" s="16">
        <v>11557361929</v>
      </c>
      <c r="C18" s="17">
        <v>11472041549</v>
      </c>
      <c r="D18" s="16">
        <v>11918465931</v>
      </c>
      <c r="E18" s="17">
        <v>11840495090</v>
      </c>
      <c r="F18" s="16">
        <v>13156560068</v>
      </c>
      <c r="G18" s="17">
        <v>12857224233</v>
      </c>
      <c r="H18" s="16">
        <v>13095277304</v>
      </c>
      <c r="I18" s="17">
        <v>12597799695</v>
      </c>
      <c r="J18" s="16">
        <v>13791109864</v>
      </c>
      <c r="K18" s="17">
        <v>10123031529</v>
      </c>
      <c r="L18" s="16">
        <v>11678345068</v>
      </c>
      <c r="M18" s="17">
        <v>11642141524</v>
      </c>
    </row>
    <row r="19" spans="1:13" ht="15.75" customHeight="1" outlineLevel="1" x14ac:dyDescent="0.2">
      <c r="A19" s="15" t="s">
        <v>18</v>
      </c>
      <c r="B19" s="16">
        <v>92689628</v>
      </c>
      <c r="C19" s="17">
        <v>76387327</v>
      </c>
      <c r="D19" s="16">
        <v>50935439</v>
      </c>
      <c r="E19" s="17">
        <v>49673683</v>
      </c>
      <c r="F19" s="16">
        <v>45634944</v>
      </c>
      <c r="G19" s="17">
        <v>42776584</v>
      </c>
      <c r="H19" s="16">
        <v>34563639</v>
      </c>
      <c r="I19" s="17">
        <v>25998219</v>
      </c>
      <c r="J19" s="16">
        <v>31318009</v>
      </c>
      <c r="K19" s="17">
        <v>28306013</v>
      </c>
      <c r="L19" s="16">
        <v>139600544</v>
      </c>
      <c r="M19" s="17">
        <v>108196004</v>
      </c>
    </row>
    <row r="20" spans="1:13" ht="15.75" customHeight="1" outlineLevel="1" x14ac:dyDescent="0.2">
      <c r="A20" s="15" t="s">
        <v>19</v>
      </c>
      <c r="B20" s="16"/>
      <c r="C20" s="17"/>
      <c r="D20" s="16"/>
      <c r="E20" s="17"/>
      <c r="F20" s="16">
        <v>167000000</v>
      </c>
      <c r="G20" s="17">
        <v>167000000</v>
      </c>
      <c r="H20" s="16">
        <v>25000000</v>
      </c>
      <c r="I20" s="17">
        <v>7008000</v>
      </c>
      <c r="J20" s="16"/>
      <c r="K20" s="17"/>
      <c r="L20" s="16">
        <v>1540000</v>
      </c>
      <c r="M20" s="17">
        <v>1540000</v>
      </c>
    </row>
    <row r="21" spans="1:13" ht="15.75" customHeight="1" x14ac:dyDescent="0.2">
      <c r="A21" s="18" t="s">
        <v>20</v>
      </c>
      <c r="B21" s="19">
        <f t="shared" ref="B21:M21" si="5">SUM(B22:B27)</f>
        <v>1781367047</v>
      </c>
      <c r="C21" s="20">
        <f t="shared" si="5"/>
        <v>1759826179</v>
      </c>
      <c r="D21" s="19">
        <f t="shared" si="5"/>
        <v>2183708451</v>
      </c>
      <c r="E21" s="20">
        <f t="shared" si="5"/>
        <v>2129765102</v>
      </c>
      <c r="F21" s="19">
        <f t="shared" si="5"/>
        <v>2911548362</v>
      </c>
      <c r="G21" s="20">
        <f t="shared" si="5"/>
        <v>2757942595</v>
      </c>
      <c r="H21" s="19">
        <f t="shared" si="5"/>
        <v>3447459721</v>
      </c>
      <c r="I21" s="20">
        <f t="shared" si="5"/>
        <v>3264303709</v>
      </c>
      <c r="J21" s="19">
        <f t="shared" si="5"/>
        <v>3278284393</v>
      </c>
      <c r="K21" s="20">
        <f t="shared" si="5"/>
        <v>1308793873</v>
      </c>
      <c r="L21" s="19">
        <f t="shared" si="5"/>
        <v>3306385402</v>
      </c>
      <c r="M21" s="20">
        <f t="shared" si="5"/>
        <v>2897283660</v>
      </c>
    </row>
    <row r="22" spans="1:13" ht="15.75" customHeight="1" outlineLevel="1" x14ac:dyDescent="0.2">
      <c r="A22" s="15" t="s">
        <v>21</v>
      </c>
      <c r="B22" s="16">
        <v>1453996567</v>
      </c>
      <c r="C22" s="17">
        <v>1432585699</v>
      </c>
      <c r="D22" s="16">
        <v>1741846869</v>
      </c>
      <c r="E22" s="17">
        <v>1687903520</v>
      </c>
      <c r="F22" s="16">
        <v>2203663693</v>
      </c>
      <c r="G22" s="17">
        <v>2051868453</v>
      </c>
      <c r="H22" s="16">
        <v>2727204737</v>
      </c>
      <c r="I22" s="17">
        <v>2544048726</v>
      </c>
      <c r="J22" s="16">
        <v>2467267389</v>
      </c>
      <c r="K22" s="17">
        <v>1239929660</v>
      </c>
      <c r="L22" s="16">
        <v>2990031822</v>
      </c>
      <c r="M22" s="17">
        <v>2580930080</v>
      </c>
    </row>
    <row r="23" spans="1:13" ht="15.75" customHeight="1" outlineLevel="1" x14ac:dyDescent="0.2">
      <c r="A23" s="15" t="s">
        <v>22</v>
      </c>
      <c r="B23" s="16">
        <v>17881333</v>
      </c>
      <c r="C23" s="17">
        <v>17751333</v>
      </c>
      <c r="D23" s="16">
        <v>73349053</v>
      </c>
      <c r="E23" s="17">
        <v>73349053</v>
      </c>
      <c r="F23" s="16">
        <v>78557263</v>
      </c>
      <c r="G23" s="17">
        <v>76747691</v>
      </c>
      <c r="H23" s="16">
        <v>3372517</v>
      </c>
      <c r="I23" s="17">
        <v>3372517</v>
      </c>
      <c r="J23" s="16">
        <v>27052855</v>
      </c>
      <c r="K23" s="17">
        <v>25044552</v>
      </c>
      <c r="L23" s="16">
        <v>2078069</v>
      </c>
      <c r="M23" s="17">
        <v>2078069</v>
      </c>
    </row>
    <row r="24" spans="1:13" ht="15.75" customHeight="1" outlineLevel="1" x14ac:dyDescent="0.2">
      <c r="A24" s="15" t="s">
        <v>23</v>
      </c>
      <c r="B24" s="16">
        <v>286000000</v>
      </c>
      <c r="C24" s="17">
        <v>286000000</v>
      </c>
      <c r="D24" s="16">
        <v>327151817</v>
      </c>
      <c r="E24" s="17">
        <v>327151817</v>
      </c>
      <c r="F24" s="16">
        <v>543819974</v>
      </c>
      <c r="G24" s="17">
        <v>543819974</v>
      </c>
      <c r="H24" s="16">
        <v>619084585</v>
      </c>
      <c r="I24" s="17">
        <v>619084585</v>
      </c>
      <c r="J24" s="16">
        <v>484011493</v>
      </c>
      <c r="K24" s="17">
        <v>15572028</v>
      </c>
      <c r="L24" s="16">
        <v>285332900</v>
      </c>
      <c r="M24" s="17">
        <v>285332900</v>
      </c>
    </row>
    <row r="25" spans="1:13" ht="15.75" customHeight="1" outlineLevel="1" x14ac:dyDescent="0.2">
      <c r="A25" s="15" t="s">
        <v>24</v>
      </c>
      <c r="B25" s="16">
        <v>23489147</v>
      </c>
      <c r="C25" s="17">
        <v>23489147</v>
      </c>
      <c r="D25" s="16">
        <v>26220275</v>
      </c>
      <c r="E25" s="17">
        <v>26220275</v>
      </c>
      <c r="F25" s="16">
        <v>27589432</v>
      </c>
      <c r="G25" s="17">
        <v>27589432</v>
      </c>
      <c r="H25" s="16">
        <v>27221840</v>
      </c>
      <c r="I25" s="17">
        <v>27221840</v>
      </c>
      <c r="J25" s="16">
        <v>30000000</v>
      </c>
      <c r="K25" s="17">
        <v>28247633</v>
      </c>
      <c r="L25" s="16">
        <v>28942611</v>
      </c>
      <c r="M25" s="17">
        <v>28942611</v>
      </c>
    </row>
    <row r="26" spans="1:13" ht="15.75" customHeight="1" outlineLevel="1" x14ac:dyDescent="0.2">
      <c r="A26" s="15" t="s">
        <v>25</v>
      </c>
      <c r="B26" s="16"/>
      <c r="C26" s="17"/>
      <c r="D26" s="16">
        <v>15140437</v>
      </c>
      <c r="E26" s="17">
        <v>15140437</v>
      </c>
      <c r="F26" s="16"/>
      <c r="G26" s="17"/>
      <c r="H26" s="16">
        <v>70576042</v>
      </c>
      <c r="I26" s="17">
        <v>70576041</v>
      </c>
      <c r="J26" s="16">
        <v>269952656</v>
      </c>
      <c r="K26" s="17">
        <v>0</v>
      </c>
      <c r="L26" s="16"/>
      <c r="M26" s="17"/>
    </row>
    <row r="27" spans="1:13" ht="15.75" customHeight="1" outlineLevel="1" x14ac:dyDescent="0.2">
      <c r="A27" s="15" t="s">
        <v>18</v>
      </c>
      <c r="B27" s="16"/>
      <c r="C27" s="17"/>
      <c r="D27" s="16"/>
      <c r="E27" s="17"/>
      <c r="F27" s="16">
        <v>57918000</v>
      </c>
      <c r="G27" s="17">
        <v>57917045</v>
      </c>
      <c r="H27" s="16"/>
      <c r="I27" s="17"/>
      <c r="J27" s="16"/>
      <c r="K27" s="17"/>
      <c r="L27" s="16"/>
      <c r="M27" s="17"/>
    </row>
    <row r="28" spans="1:13" ht="15.75" customHeight="1" x14ac:dyDescent="0.2">
      <c r="A28" s="18" t="s">
        <v>26</v>
      </c>
      <c r="B28" s="19"/>
      <c r="C28" s="20"/>
      <c r="D28" s="19">
        <v>213605793</v>
      </c>
      <c r="E28" s="20">
        <v>213605793</v>
      </c>
      <c r="F28" s="19"/>
      <c r="G28" s="20"/>
      <c r="H28" s="19"/>
      <c r="I28" s="20"/>
      <c r="J28" s="19"/>
      <c r="K28" s="20"/>
      <c r="L28" s="19"/>
      <c r="M28" s="20"/>
    </row>
    <row r="29" spans="1:13" ht="15.75" customHeight="1" x14ac:dyDescent="0.2">
      <c r="A29" s="10" t="s">
        <v>27</v>
      </c>
      <c r="B29" s="10">
        <f>+B30+B35+B41+B46+B54+B59+B68+B73+B78+B84</f>
        <v>19509762033</v>
      </c>
      <c r="C29" s="10">
        <f t="shared" ref="C29:M29" si="6">+C30+C35+C41+C46+C54+C59+C68+C73+C78+C84</f>
        <v>18291747673</v>
      </c>
      <c r="D29" s="10">
        <f t="shared" si="6"/>
        <v>23799459651</v>
      </c>
      <c r="E29" s="21">
        <f t="shared" si="6"/>
        <v>22748609965</v>
      </c>
      <c r="F29" s="10">
        <f t="shared" si="6"/>
        <v>20228658769</v>
      </c>
      <c r="G29" s="21">
        <f t="shared" si="6"/>
        <v>18373511710</v>
      </c>
      <c r="H29" s="10">
        <f t="shared" si="6"/>
        <v>14931403223</v>
      </c>
      <c r="I29" s="10">
        <f t="shared" si="6"/>
        <v>5878010380</v>
      </c>
      <c r="J29" s="10">
        <f t="shared" si="6"/>
        <v>23668514038</v>
      </c>
      <c r="K29" s="21">
        <f t="shared" si="6"/>
        <v>14112241711</v>
      </c>
      <c r="L29" s="10">
        <f t="shared" si="6"/>
        <v>29565688164</v>
      </c>
      <c r="M29" s="21">
        <f t="shared" si="6"/>
        <v>19160607242</v>
      </c>
    </row>
    <row r="30" spans="1:13" ht="15.75" customHeight="1" x14ac:dyDescent="0.2">
      <c r="A30" s="18" t="s">
        <v>28</v>
      </c>
      <c r="B30" s="38">
        <f>SUM(B31:B34)</f>
        <v>4563178600</v>
      </c>
      <c r="C30" s="39">
        <f t="shared" ref="C30:I30" si="7">SUM(C31:C34)</f>
        <v>4541924395</v>
      </c>
      <c r="D30" s="19">
        <f t="shared" si="7"/>
        <v>2157433814</v>
      </c>
      <c r="E30" s="20">
        <f t="shared" si="7"/>
        <v>2148436108</v>
      </c>
      <c r="F30" s="19">
        <f t="shared" si="7"/>
        <v>2499421019</v>
      </c>
      <c r="G30" s="20">
        <f t="shared" si="7"/>
        <v>2430906976</v>
      </c>
      <c r="H30" s="19">
        <f t="shared" si="7"/>
        <v>61631437</v>
      </c>
      <c r="I30" s="20">
        <f t="shared" si="7"/>
        <v>0</v>
      </c>
      <c r="J30" s="19"/>
      <c r="K30" s="20"/>
      <c r="L30" s="19"/>
      <c r="M30" s="20"/>
    </row>
    <row r="31" spans="1:13" ht="15.75" customHeight="1" outlineLevel="1" x14ac:dyDescent="0.2">
      <c r="A31" s="15" t="s">
        <v>16</v>
      </c>
      <c r="B31" s="40">
        <v>3633579726</v>
      </c>
      <c r="C31" s="41">
        <v>3625656943</v>
      </c>
      <c r="D31" s="16">
        <v>1281648830</v>
      </c>
      <c r="E31" s="17">
        <v>1274275401</v>
      </c>
      <c r="F31" s="16">
        <v>1754056482</v>
      </c>
      <c r="G31" s="17">
        <v>1740274160</v>
      </c>
      <c r="H31" s="16">
        <v>7746817</v>
      </c>
      <c r="I31" s="17">
        <v>0</v>
      </c>
      <c r="J31" s="16"/>
      <c r="K31" s="17"/>
      <c r="L31" s="16"/>
      <c r="M31" s="17"/>
    </row>
    <row r="32" spans="1:13" ht="15.75" customHeight="1" outlineLevel="1" x14ac:dyDescent="0.2">
      <c r="A32" s="15" t="s">
        <v>12</v>
      </c>
      <c r="B32" s="40">
        <v>287413936</v>
      </c>
      <c r="C32" s="41">
        <v>286918300</v>
      </c>
      <c r="D32" s="16">
        <v>514633665</v>
      </c>
      <c r="E32" s="17">
        <v>514541028</v>
      </c>
      <c r="F32" s="16">
        <v>454002407</v>
      </c>
      <c r="G32" s="17">
        <v>434435018</v>
      </c>
      <c r="H32" s="16">
        <v>18720288</v>
      </c>
      <c r="I32" s="17">
        <v>0</v>
      </c>
      <c r="J32" s="16"/>
      <c r="K32" s="17"/>
      <c r="L32" s="16"/>
      <c r="M32" s="17"/>
    </row>
    <row r="33" spans="1:13" ht="15.75" customHeight="1" outlineLevel="1" x14ac:dyDescent="0.2">
      <c r="A33" s="15" t="s">
        <v>17</v>
      </c>
      <c r="B33" s="40">
        <v>135623938</v>
      </c>
      <c r="C33" s="41">
        <v>135316815</v>
      </c>
      <c r="D33" s="16">
        <v>361151319</v>
      </c>
      <c r="E33" s="17">
        <v>359619679</v>
      </c>
      <c r="F33" s="16">
        <v>291362130</v>
      </c>
      <c r="G33" s="17">
        <v>256197798</v>
      </c>
      <c r="H33" s="16">
        <v>35164332</v>
      </c>
      <c r="I33" s="17">
        <v>0</v>
      </c>
      <c r="J33" s="16"/>
      <c r="K33" s="17"/>
      <c r="L33" s="16"/>
      <c r="M33" s="17"/>
    </row>
    <row r="34" spans="1:13" ht="15.75" customHeight="1" outlineLevel="1" x14ac:dyDescent="0.2">
      <c r="A34" s="15" t="s">
        <v>19</v>
      </c>
      <c r="B34" s="38">
        <v>506561000</v>
      </c>
      <c r="C34" s="39">
        <v>494032337</v>
      </c>
      <c r="D34" s="19"/>
      <c r="E34" s="20"/>
      <c r="F34" s="19"/>
      <c r="G34" s="20"/>
      <c r="H34" s="19"/>
      <c r="I34" s="20"/>
      <c r="J34" s="19"/>
      <c r="K34" s="20"/>
      <c r="L34" s="19"/>
      <c r="M34" s="20"/>
    </row>
    <row r="35" spans="1:13" ht="15.75" customHeight="1" x14ac:dyDescent="0.2">
      <c r="A35" s="18" t="s">
        <v>29</v>
      </c>
      <c r="B35" s="40">
        <f>SUM(B36:B40)</f>
        <v>194693382</v>
      </c>
      <c r="C35" s="40">
        <f t="shared" ref="C35" si="8">SUM(C36:C40)</f>
        <v>185666649</v>
      </c>
      <c r="D35" s="16">
        <f t="shared" ref="D35:M35" si="9">SUM(D36:D40)</f>
        <v>614686421</v>
      </c>
      <c r="E35" s="17">
        <f t="shared" si="9"/>
        <v>603945573</v>
      </c>
      <c r="F35" s="16">
        <f t="shared" si="9"/>
        <v>742363063</v>
      </c>
      <c r="G35" s="17">
        <f t="shared" si="9"/>
        <v>655727662</v>
      </c>
      <c r="H35" s="16">
        <f t="shared" si="9"/>
        <v>671184586</v>
      </c>
      <c r="I35" s="17">
        <f t="shared" si="9"/>
        <v>634467691</v>
      </c>
      <c r="J35" s="16">
        <f t="shared" si="9"/>
        <v>1421428572</v>
      </c>
      <c r="K35" s="17">
        <f t="shared" si="9"/>
        <v>1361791599</v>
      </c>
      <c r="L35" s="16">
        <f t="shared" si="9"/>
        <v>2360891293</v>
      </c>
      <c r="M35" s="17">
        <f t="shared" si="9"/>
        <v>1933251151</v>
      </c>
    </row>
    <row r="36" spans="1:13" ht="15.75" customHeight="1" outlineLevel="1" x14ac:dyDescent="0.2">
      <c r="A36" s="15" t="s">
        <v>12</v>
      </c>
      <c r="B36" s="16">
        <v>150735428</v>
      </c>
      <c r="C36" s="17">
        <v>141879647</v>
      </c>
      <c r="D36" s="16">
        <v>344724130</v>
      </c>
      <c r="E36" s="17">
        <v>342510618</v>
      </c>
      <c r="F36" s="16">
        <v>511413603</v>
      </c>
      <c r="G36" s="17">
        <v>435599408</v>
      </c>
      <c r="H36" s="16">
        <v>412028430</v>
      </c>
      <c r="I36" s="17">
        <v>394013101</v>
      </c>
      <c r="J36" s="16">
        <v>1071296690</v>
      </c>
      <c r="K36" s="17">
        <v>1046840370</v>
      </c>
      <c r="L36" s="16">
        <v>1720217628</v>
      </c>
      <c r="M36" s="17">
        <v>1537367579</v>
      </c>
    </row>
    <row r="37" spans="1:13" ht="15.75" customHeight="1" outlineLevel="1" x14ac:dyDescent="0.2">
      <c r="A37" s="15" t="s">
        <v>17</v>
      </c>
      <c r="B37" s="16">
        <v>27957954</v>
      </c>
      <c r="C37" s="17">
        <v>27787002</v>
      </c>
      <c r="D37" s="16">
        <v>226900992</v>
      </c>
      <c r="E37" s="17">
        <v>218436828</v>
      </c>
      <c r="F37" s="16">
        <v>185494842</v>
      </c>
      <c r="G37" s="17">
        <v>175887174</v>
      </c>
      <c r="H37" s="16">
        <v>162348717</v>
      </c>
      <c r="I37" s="17">
        <v>156358265</v>
      </c>
      <c r="J37" s="16">
        <v>77776976</v>
      </c>
      <c r="K37" s="17">
        <v>71780321</v>
      </c>
      <c r="L37" s="16">
        <v>398828682</v>
      </c>
      <c r="M37" s="17">
        <v>154038590</v>
      </c>
    </row>
    <row r="38" spans="1:13" ht="15.75" customHeight="1" outlineLevel="1" x14ac:dyDescent="0.2">
      <c r="A38" s="15" t="s">
        <v>16</v>
      </c>
      <c r="B38" s="18"/>
      <c r="C38" s="22"/>
      <c r="D38" s="18">
        <v>35921299</v>
      </c>
      <c r="E38" s="22">
        <v>35858127</v>
      </c>
      <c r="F38" s="18">
        <v>17084680</v>
      </c>
      <c r="G38" s="22">
        <v>17081142</v>
      </c>
      <c r="H38" s="18">
        <v>73759439</v>
      </c>
      <c r="I38" s="22">
        <v>61048325</v>
      </c>
      <c r="J38" s="18">
        <v>184114906</v>
      </c>
      <c r="K38" s="22">
        <v>154930908</v>
      </c>
      <c r="L38" s="18">
        <v>161844983</v>
      </c>
      <c r="M38" s="22">
        <v>161844982</v>
      </c>
    </row>
    <row r="39" spans="1:13" ht="15.75" customHeight="1" outlineLevel="1" x14ac:dyDescent="0.2">
      <c r="A39" s="15" t="s">
        <v>19</v>
      </c>
      <c r="B39" s="16">
        <v>16000000</v>
      </c>
      <c r="C39" s="17">
        <v>16000000</v>
      </c>
      <c r="D39" s="16">
        <v>7140000</v>
      </c>
      <c r="E39" s="17">
        <v>7140000</v>
      </c>
      <c r="F39" s="16">
        <v>28369938</v>
      </c>
      <c r="G39" s="17">
        <v>27159938</v>
      </c>
      <c r="H39" s="16"/>
      <c r="I39" s="17"/>
      <c r="J39" s="16"/>
      <c r="K39" s="17"/>
      <c r="L39" s="16"/>
      <c r="M39" s="17"/>
    </row>
    <row r="40" spans="1:13" ht="15.75" customHeight="1" outlineLevel="1" x14ac:dyDescent="0.2">
      <c r="A40" s="15" t="s">
        <v>30</v>
      </c>
      <c r="B40" s="16"/>
      <c r="C40" s="17"/>
      <c r="D40" s="16"/>
      <c r="E40" s="17"/>
      <c r="F40" s="16"/>
      <c r="G40" s="17"/>
      <c r="H40" s="16">
        <v>23048000</v>
      </c>
      <c r="I40" s="17">
        <v>23048000</v>
      </c>
      <c r="J40" s="16">
        <v>88240000</v>
      </c>
      <c r="K40" s="17">
        <v>88240000</v>
      </c>
      <c r="L40" s="16">
        <v>80000000</v>
      </c>
      <c r="M40" s="17">
        <v>80000000</v>
      </c>
    </row>
    <row r="41" spans="1:13" ht="15.75" customHeight="1" x14ac:dyDescent="0.2">
      <c r="A41" s="18" t="s">
        <v>31</v>
      </c>
      <c r="B41" s="19">
        <f t="shared" ref="B41:G41" si="10">SUM(B42:B45)</f>
        <v>612599396</v>
      </c>
      <c r="C41" s="20">
        <f t="shared" si="10"/>
        <v>588920398</v>
      </c>
      <c r="D41" s="19">
        <f t="shared" si="10"/>
        <v>91075302</v>
      </c>
      <c r="E41" s="20">
        <f t="shared" si="10"/>
        <v>90971350</v>
      </c>
      <c r="F41" s="19">
        <f t="shared" si="10"/>
        <v>57575302</v>
      </c>
      <c r="G41" s="20">
        <f t="shared" si="10"/>
        <v>57515022</v>
      </c>
      <c r="H41" s="19"/>
      <c r="I41" s="20"/>
      <c r="J41" s="19"/>
      <c r="K41" s="20"/>
      <c r="L41" s="19">
        <f>SUM(L42:L45)</f>
        <v>196800000</v>
      </c>
      <c r="M41" s="20">
        <f>SUM(M42:M45)</f>
        <v>196779168</v>
      </c>
    </row>
    <row r="42" spans="1:13" ht="15.75" customHeight="1" outlineLevel="1" x14ac:dyDescent="0.2">
      <c r="A42" s="15" t="s">
        <v>30</v>
      </c>
      <c r="B42" s="16">
        <v>82750000</v>
      </c>
      <c r="C42" s="17">
        <v>82734600</v>
      </c>
      <c r="D42" s="16"/>
      <c r="E42" s="17"/>
      <c r="F42" s="16"/>
      <c r="G42" s="17"/>
      <c r="H42" s="16"/>
      <c r="I42" s="17"/>
      <c r="J42" s="16"/>
      <c r="K42" s="17"/>
      <c r="L42" s="16"/>
      <c r="M42" s="17"/>
    </row>
    <row r="43" spans="1:13" ht="15.75" customHeight="1" outlineLevel="1" x14ac:dyDescent="0.2">
      <c r="A43" s="15" t="s">
        <v>12</v>
      </c>
      <c r="B43" s="16">
        <v>34431477</v>
      </c>
      <c r="C43" s="17">
        <v>34431475</v>
      </c>
      <c r="D43" s="16">
        <v>52575302</v>
      </c>
      <c r="E43" s="17">
        <v>52575302</v>
      </c>
      <c r="F43" s="16">
        <v>52575302</v>
      </c>
      <c r="G43" s="17">
        <v>52575301</v>
      </c>
      <c r="H43" s="16"/>
      <c r="I43" s="17"/>
      <c r="J43" s="16"/>
      <c r="K43" s="17"/>
      <c r="L43" s="16">
        <v>196800000</v>
      </c>
      <c r="M43" s="17">
        <v>196779168</v>
      </c>
    </row>
    <row r="44" spans="1:13" ht="15.75" customHeight="1" outlineLevel="1" x14ac:dyDescent="0.2">
      <c r="A44" s="15" t="s">
        <v>16</v>
      </c>
      <c r="B44" s="16">
        <v>495417919</v>
      </c>
      <c r="C44" s="17">
        <v>471754323</v>
      </c>
      <c r="D44" s="16">
        <v>33500000</v>
      </c>
      <c r="E44" s="17">
        <v>33396048</v>
      </c>
      <c r="F44" s="16">
        <v>5000000</v>
      </c>
      <c r="G44" s="17">
        <v>4939721</v>
      </c>
      <c r="H44" s="16"/>
      <c r="I44" s="17"/>
      <c r="J44" s="16"/>
      <c r="K44" s="17"/>
      <c r="L44" s="16"/>
      <c r="M44" s="17"/>
    </row>
    <row r="45" spans="1:13" ht="15.75" customHeight="1" outlineLevel="1" x14ac:dyDescent="0.2">
      <c r="A45" s="15" t="s">
        <v>17</v>
      </c>
      <c r="B45" s="16"/>
      <c r="C45" s="17"/>
      <c r="D45" s="16">
        <v>5000000</v>
      </c>
      <c r="E45" s="17">
        <v>5000000</v>
      </c>
      <c r="F45" s="16"/>
      <c r="G45" s="17"/>
      <c r="H45" s="16"/>
      <c r="I45" s="17"/>
      <c r="J45" s="16"/>
      <c r="K45" s="17"/>
      <c r="L45" s="16"/>
      <c r="M45" s="17"/>
    </row>
    <row r="46" spans="1:13" ht="15.75" customHeight="1" x14ac:dyDescent="0.2">
      <c r="A46" s="18" t="s">
        <v>32</v>
      </c>
      <c r="B46" s="19">
        <f t="shared" ref="B46:M46" si="11">SUM(B47:B53)</f>
        <v>3053075934</v>
      </c>
      <c r="C46" s="20">
        <f t="shared" si="11"/>
        <v>3029100391</v>
      </c>
      <c r="D46" s="19">
        <f t="shared" si="11"/>
        <v>6033012630</v>
      </c>
      <c r="E46" s="20">
        <f t="shared" si="11"/>
        <v>5440791295</v>
      </c>
      <c r="F46" s="19">
        <f t="shared" si="11"/>
        <v>3321543758</v>
      </c>
      <c r="G46" s="20">
        <f t="shared" si="11"/>
        <v>3212463375</v>
      </c>
      <c r="H46" s="19">
        <f t="shared" si="11"/>
        <v>942002033</v>
      </c>
      <c r="I46" s="20">
        <f t="shared" si="11"/>
        <v>727805451</v>
      </c>
      <c r="J46" s="19">
        <f t="shared" si="11"/>
        <v>3219263720</v>
      </c>
      <c r="K46" s="20">
        <f t="shared" si="11"/>
        <v>2929703659</v>
      </c>
      <c r="L46" s="19">
        <f t="shared" si="11"/>
        <v>4633218686</v>
      </c>
      <c r="M46" s="20">
        <f t="shared" si="11"/>
        <v>3494643225</v>
      </c>
    </row>
    <row r="47" spans="1:13" ht="15.75" customHeight="1" outlineLevel="1" x14ac:dyDescent="0.2">
      <c r="A47" s="15" t="s">
        <v>12</v>
      </c>
      <c r="B47" s="16">
        <v>492364494</v>
      </c>
      <c r="C47" s="17">
        <v>480744754</v>
      </c>
      <c r="D47" s="16">
        <v>1077345666</v>
      </c>
      <c r="E47" s="17">
        <v>1072200954</v>
      </c>
      <c r="F47" s="16">
        <v>1085639770</v>
      </c>
      <c r="G47" s="17">
        <v>1034811583</v>
      </c>
      <c r="H47" s="16">
        <v>452292992</v>
      </c>
      <c r="I47" s="17">
        <v>310314650</v>
      </c>
      <c r="J47" s="16">
        <v>2058571315</v>
      </c>
      <c r="K47" s="17">
        <v>1931146338</v>
      </c>
      <c r="L47" s="16">
        <v>2288378446</v>
      </c>
      <c r="M47" s="17">
        <v>2135121752</v>
      </c>
    </row>
    <row r="48" spans="1:13" ht="15.75" customHeight="1" outlineLevel="1" x14ac:dyDescent="0.2">
      <c r="A48" s="15" t="s">
        <v>16</v>
      </c>
      <c r="B48" s="16">
        <v>2529309440</v>
      </c>
      <c r="C48" s="17">
        <v>2516984379</v>
      </c>
      <c r="D48" s="16">
        <v>3929099249</v>
      </c>
      <c r="E48" s="17">
        <v>3602516012</v>
      </c>
      <c r="F48" s="16">
        <v>1363390542</v>
      </c>
      <c r="G48" s="17">
        <v>1337994020</v>
      </c>
      <c r="H48" s="16">
        <v>327436165</v>
      </c>
      <c r="I48" s="17">
        <v>321678563</v>
      </c>
      <c r="J48" s="16">
        <v>1009158631</v>
      </c>
      <c r="K48" s="17">
        <v>909238802</v>
      </c>
      <c r="L48" s="16">
        <v>1960204904</v>
      </c>
      <c r="M48" s="17">
        <v>1094340524</v>
      </c>
    </row>
    <row r="49" spans="1:13" ht="15.75" customHeight="1" outlineLevel="1" x14ac:dyDescent="0.2">
      <c r="A49" s="15" t="s">
        <v>17</v>
      </c>
      <c r="B49" s="16">
        <v>19892000</v>
      </c>
      <c r="C49" s="17">
        <v>19869990</v>
      </c>
      <c r="D49" s="16">
        <v>539793589</v>
      </c>
      <c r="E49" s="17">
        <v>537196466</v>
      </c>
      <c r="F49" s="16">
        <v>660881038</v>
      </c>
      <c r="G49" s="17">
        <v>648311984</v>
      </c>
      <c r="H49" s="16">
        <v>140724692</v>
      </c>
      <c r="I49" s="17">
        <v>95812238</v>
      </c>
      <c r="J49" s="16">
        <v>120174062</v>
      </c>
      <c r="K49" s="17">
        <v>89318519</v>
      </c>
      <c r="L49" s="16">
        <v>298498153</v>
      </c>
      <c r="M49" s="17">
        <v>249529766</v>
      </c>
    </row>
    <row r="50" spans="1:13" ht="15.75" customHeight="1" outlineLevel="1" x14ac:dyDescent="0.2">
      <c r="A50" s="15" t="s">
        <v>19</v>
      </c>
      <c r="B50" s="16">
        <v>11510000</v>
      </c>
      <c r="C50" s="17">
        <v>11501268</v>
      </c>
      <c r="D50" s="16">
        <v>64547912</v>
      </c>
      <c r="E50" s="17">
        <v>64477863</v>
      </c>
      <c r="F50" s="16">
        <v>17727670</v>
      </c>
      <c r="G50" s="17">
        <v>17716024</v>
      </c>
      <c r="H50" s="16"/>
      <c r="I50" s="17"/>
      <c r="J50" s="16"/>
      <c r="K50" s="17"/>
      <c r="L50" s="16">
        <v>13856783</v>
      </c>
      <c r="M50" s="17">
        <v>13370783</v>
      </c>
    </row>
    <row r="51" spans="1:13" ht="15.75" customHeight="1" outlineLevel="1" x14ac:dyDescent="0.2">
      <c r="A51" s="15" t="s">
        <v>30</v>
      </c>
      <c r="B51" s="16"/>
      <c r="C51" s="17"/>
      <c r="D51" s="16">
        <v>164460000</v>
      </c>
      <c r="E51" s="17">
        <v>164400000</v>
      </c>
      <c r="F51" s="16">
        <v>173632000</v>
      </c>
      <c r="G51" s="17">
        <v>173629764</v>
      </c>
      <c r="H51" s="16"/>
      <c r="I51" s="17"/>
      <c r="J51" s="16">
        <v>31359712</v>
      </c>
      <c r="K51" s="17">
        <v>0</v>
      </c>
      <c r="L51" s="16"/>
      <c r="M51" s="17"/>
    </row>
    <row r="52" spans="1:13" ht="15.75" customHeight="1" outlineLevel="1" x14ac:dyDescent="0.2">
      <c r="A52" s="15" t="s">
        <v>33</v>
      </c>
      <c r="B52" s="16"/>
      <c r="C52" s="17"/>
      <c r="D52" s="16">
        <v>257766214</v>
      </c>
      <c r="E52" s="17">
        <v>0</v>
      </c>
      <c r="F52" s="16">
        <v>20272738</v>
      </c>
      <c r="G52" s="17">
        <v>0</v>
      </c>
      <c r="H52" s="16">
        <v>21548184</v>
      </c>
      <c r="I52" s="17">
        <v>0</v>
      </c>
      <c r="J52" s="16"/>
      <c r="K52" s="17"/>
      <c r="L52" s="16">
        <v>70000000</v>
      </c>
      <c r="M52" s="17">
        <v>0</v>
      </c>
    </row>
    <row r="53" spans="1:13" ht="15.75" customHeight="1" outlineLevel="1" x14ac:dyDescent="0.2">
      <c r="A53" s="15" t="s">
        <v>34</v>
      </c>
      <c r="B53" s="16"/>
      <c r="C53" s="17"/>
      <c r="D53" s="16"/>
      <c r="E53" s="17"/>
      <c r="F53" s="16"/>
      <c r="G53" s="17"/>
      <c r="H53" s="16"/>
      <c r="I53" s="17"/>
      <c r="J53" s="16"/>
      <c r="K53" s="17"/>
      <c r="L53" s="16">
        <v>2280400</v>
      </c>
      <c r="M53" s="17">
        <v>2280400</v>
      </c>
    </row>
    <row r="54" spans="1:13" ht="15.75" customHeight="1" x14ac:dyDescent="0.2">
      <c r="A54" s="18" t="s">
        <v>35</v>
      </c>
      <c r="B54" s="19">
        <f t="shared" ref="B54:M54" si="12">SUM(B55:B58)</f>
        <v>7893111693</v>
      </c>
      <c r="C54" s="20">
        <f t="shared" si="12"/>
        <v>7538122394</v>
      </c>
      <c r="D54" s="19">
        <f t="shared" si="12"/>
        <v>11634079271</v>
      </c>
      <c r="E54" s="20">
        <f t="shared" si="12"/>
        <v>11612001073</v>
      </c>
      <c r="F54" s="19">
        <f t="shared" si="12"/>
        <v>9692133547</v>
      </c>
      <c r="G54" s="20">
        <f t="shared" si="12"/>
        <v>8900449676</v>
      </c>
      <c r="H54" s="19">
        <f t="shared" si="12"/>
        <v>1216020333</v>
      </c>
      <c r="I54" s="20">
        <f t="shared" si="12"/>
        <v>1093934855</v>
      </c>
      <c r="J54" s="19">
        <f t="shared" si="12"/>
        <v>1078720695</v>
      </c>
      <c r="K54" s="20">
        <f t="shared" si="12"/>
        <v>1044717683</v>
      </c>
      <c r="L54" s="19">
        <f t="shared" si="12"/>
        <v>908503012</v>
      </c>
      <c r="M54" s="20">
        <f t="shared" si="12"/>
        <v>693690640</v>
      </c>
    </row>
    <row r="55" spans="1:13" ht="15.75" customHeight="1" outlineLevel="1" x14ac:dyDescent="0.2">
      <c r="A55" s="15" t="s">
        <v>16</v>
      </c>
      <c r="B55" s="16">
        <v>6646655177</v>
      </c>
      <c r="C55" s="17">
        <v>6339541190</v>
      </c>
      <c r="D55" s="16">
        <v>9228504232</v>
      </c>
      <c r="E55" s="17">
        <v>9211237965</v>
      </c>
      <c r="F55" s="16">
        <v>8344115779</v>
      </c>
      <c r="G55" s="17">
        <v>7609655924</v>
      </c>
      <c r="H55" s="16">
        <v>1007073165</v>
      </c>
      <c r="I55" s="17">
        <v>888842192</v>
      </c>
      <c r="J55" s="16">
        <v>1012409449</v>
      </c>
      <c r="K55" s="17">
        <v>981263185</v>
      </c>
      <c r="L55" s="16">
        <v>863131237</v>
      </c>
      <c r="M55" s="17">
        <v>687935176</v>
      </c>
    </row>
    <row r="56" spans="1:13" ht="15.75" customHeight="1" outlineLevel="1" x14ac:dyDescent="0.2">
      <c r="A56" s="15" t="s">
        <v>12</v>
      </c>
      <c r="B56" s="16">
        <v>1243460279</v>
      </c>
      <c r="C56" s="17">
        <v>1195584967</v>
      </c>
      <c r="D56" s="16">
        <v>2405575039</v>
      </c>
      <c r="E56" s="17">
        <v>2400763108</v>
      </c>
      <c r="F56" s="16">
        <v>1347093272</v>
      </c>
      <c r="G56" s="17">
        <v>1289869256</v>
      </c>
      <c r="H56" s="16">
        <v>69865056</v>
      </c>
      <c r="I56" s="17">
        <v>66010551</v>
      </c>
      <c r="J56" s="16">
        <v>64311246</v>
      </c>
      <c r="K56" s="17">
        <v>62738144</v>
      </c>
      <c r="L56" s="16">
        <v>45371775</v>
      </c>
      <c r="M56" s="17">
        <v>5755464</v>
      </c>
    </row>
    <row r="57" spans="1:13" ht="15.75" customHeight="1" outlineLevel="1" x14ac:dyDescent="0.2">
      <c r="A57" s="15" t="s">
        <v>17</v>
      </c>
      <c r="B57" s="16">
        <v>2996237</v>
      </c>
      <c r="C57" s="17">
        <v>2996237</v>
      </c>
      <c r="D57" s="16"/>
      <c r="E57" s="17"/>
      <c r="F57" s="16">
        <v>924496</v>
      </c>
      <c r="G57" s="17">
        <v>924496</v>
      </c>
      <c r="H57" s="16"/>
      <c r="I57" s="17"/>
      <c r="J57" s="16">
        <v>2000000</v>
      </c>
      <c r="K57" s="17">
        <v>716354</v>
      </c>
      <c r="L57" s="16"/>
      <c r="M57" s="17"/>
    </row>
    <row r="58" spans="1:13" ht="15.75" customHeight="1" outlineLevel="1" x14ac:dyDescent="0.2">
      <c r="A58" s="15" t="s">
        <v>36</v>
      </c>
      <c r="B58" s="16"/>
      <c r="C58" s="17"/>
      <c r="D58" s="16"/>
      <c r="E58" s="17"/>
      <c r="F58" s="16"/>
      <c r="G58" s="17"/>
      <c r="H58" s="16">
        <v>139082112</v>
      </c>
      <c r="I58" s="41">
        <v>139082112</v>
      </c>
      <c r="J58" s="16"/>
      <c r="K58" s="17"/>
      <c r="L58" s="16"/>
      <c r="M58" s="17"/>
    </row>
    <row r="59" spans="1:13" ht="15.75" customHeight="1" x14ac:dyDescent="0.2">
      <c r="A59" s="18" t="s">
        <v>37</v>
      </c>
      <c r="B59" s="19">
        <f t="shared" ref="B59:M59" si="13">SUM(B60:B67)</f>
        <v>2041061084</v>
      </c>
      <c r="C59" s="20">
        <f t="shared" si="13"/>
        <v>1266975070</v>
      </c>
      <c r="D59" s="19">
        <f t="shared" si="13"/>
        <v>2597382542</v>
      </c>
      <c r="E59" s="20">
        <f t="shared" si="13"/>
        <v>2181280765</v>
      </c>
      <c r="F59" s="19">
        <f t="shared" si="13"/>
        <v>3366513508</v>
      </c>
      <c r="G59" s="20">
        <f t="shared" si="13"/>
        <v>2577842540</v>
      </c>
      <c r="H59" s="19">
        <f t="shared" si="13"/>
        <v>1159669858</v>
      </c>
      <c r="I59" s="39">
        <f>SUM(I60:I67)</f>
        <v>914167658</v>
      </c>
      <c r="J59" s="19">
        <f t="shared" si="13"/>
        <v>2414876995</v>
      </c>
      <c r="K59" s="20">
        <f t="shared" si="13"/>
        <v>614217536</v>
      </c>
      <c r="L59" s="19">
        <f t="shared" si="13"/>
        <v>2750898408</v>
      </c>
      <c r="M59" s="20">
        <f t="shared" si="13"/>
        <v>1936261440</v>
      </c>
    </row>
    <row r="60" spans="1:13" ht="15.75" customHeight="1" outlineLevel="1" x14ac:dyDescent="0.2">
      <c r="A60" s="15" t="s">
        <v>12</v>
      </c>
      <c r="B60" s="16">
        <v>549214758</v>
      </c>
      <c r="C60" s="17">
        <v>543384358</v>
      </c>
      <c r="D60" s="16">
        <v>684175335</v>
      </c>
      <c r="E60" s="17">
        <v>678578784</v>
      </c>
      <c r="F60" s="16">
        <v>1159644200</v>
      </c>
      <c r="G60" s="17">
        <v>1156199614</v>
      </c>
      <c r="H60" s="16">
        <v>453021547</v>
      </c>
      <c r="I60" s="41">
        <v>438122314</v>
      </c>
      <c r="J60" s="16">
        <v>663706862</v>
      </c>
      <c r="K60" s="17">
        <v>377879603</v>
      </c>
      <c r="L60" s="16">
        <v>1382388818</v>
      </c>
      <c r="M60" s="17">
        <v>1144514847</v>
      </c>
    </row>
    <row r="61" spans="1:13" ht="15.75" customHeight="1" outlineLevel="1" x14ac:dyDescent="0.2">
      <c r="A61" s="15" t="s">
        <v>16</v>
      </c>
      <c r="B61" s="16">
        <v>230992321</v>
      </c>
      <c r="C61" s="17">
        <v>230756281</v>
      </c>
      <c r="D61" s="16">
        <v>282127260</v>
      </c>
      <c r="E61" s="17">
        <v>280774646</v>
      </c>
      <c r="F61" s="16">
        <v>370800067</v>
      </c>
      <c r="G61" s="17">
        <v>367913964</v>
      </c>
      <c r="H61" s="16">
        <v>159006485</v>
      </c>
      <c r="I61" s="17">
        <v>141621476</v>
      </c>
      <c r="J61" s="16">
        <v>286922788</v>
      </c>
      <c r="K61" s="17">
        <v>185839551</v>
      </c>
      <c r="L61" s="16">
        <v>458701559</v>
      </c>
      <c r="M61" s="17">
        <v>400403567</v>
      </c>
    </row>
    <row r="62" spans="1:13" ht="15.75" customHeight="1" outlineLevel="1" x14ac:dyDescent="0.2">
      <c r="A62" s="15" t="s">
        <v>17</v>
      </c>
      <c r="B62" s="16">
        <v>439280168</v>
      </c>
      <c r="C62" s="17">
        <v>439280168</v>
      </c>
      <c r="D62" s="16">
        <v>818337071</v>
      </c>
      <c r="E62" s="17">
        <v>814459469</v>
      </c>
      <c r="F62" s="16">
        <v>929498979</v>
      </c>
      <c r="G62" s="17">
        <v>903590209</v>
      </c>
      <c r="H62" s="16">
        <v>277282247</v>
      </c>
      <c r="I62" s="17">
        <v>254240096</v>
      </c>
      <c r="J62" s="16">
        <v>194953147</v>
      </c>
      <c r="K62" s="17">
        <v>37215877</v>
      </c>
      <c r="L62" s="16">
        <v>571344106</v>
      </c>
      <c r="M62" s="17">
        <v>340398103</v>
      </c>
    </row>
    <row r="63" spans="1:13" ht="15.75" customHeight="1" outlineLevel="1" x14ac:dyDescent="0.2">
      <c r="A63" s="15" t="s">
        <v>19</v>
      </c>
      <c r="B63" s="16">
        <v>53536060</v>
      </c>
      <c r="C63" s="17">
        <v>53536060</v>
      </c>
      <c r="D63" s="16">
        <v>97416432</v>
      </c>
      <c r="E63" s="17">
        <v>97416432</v>
      </c>
      <c r="F63" s="16">
        <v>94410437</v>
      </c>
      <c r="G63" s="17">
        <v>94410437</v>
      </c>
      <c r="H63" s="16">
        <v>54711177</v>
      </c>
      <c r="I63" s="17">
        <v>53710758</v>
      </c>
      <c r="J63" s="16">
        <v>44028000</v>
      </c>
      <c r="K63" s="17">
        <v>6497888</v>
      </c>
      <c r="L63" s="16">
        <v>45688478</v>
      </c>
      <c r="M63" s="17">
        <v>27216014</v>
      </c>
    </row>
    <row r="64" spans="1:13" ht="15.75" customHeight="1" outlineLevel="1" x14ac:dyDescent="0.2">
      <c r="A64" s="15" t="s">
        <v>38</v>
      </c>
      <c r="B64" s="16">
        <v>767837776</v>
      </c>
      <c r="C64" s="17">
        <v>0</v>
      </c>
      <c r="D64" s="16">
        <v>404816582</v>
      </c>
      <c r="E64" s="17">
        <v>0</v>
      </c>
      <c r="F64" s="16">
        <v>756431509</v>
      </c>
      <c r="G64" s="17">
        <v>0</v>
      </c>
      <c r="H64" s="16">
        <v>189163495</v>
      </c>
      <c r="I64" s="17">
        <v>0</v>
      </c>
      <c r="J64" s="16"/>
      <c r="K64" s="17"/>
      <c r="L64" s="16">
        <v>195165032</v>
      </c>
      <c r="M64" s="17">
        <v>0</v>
      </c>
    </row>
    <row r="65" spans="1:13" ht="15.75" customHeight="1" outlineLevel="1" x14ac:dyDescent="0.2">
      <c r="A65" s="15" t="s">
        <v>18</v>
      </c>
      <c r="B65" s="16">
        <v>200001</v>
      </c>
      <c r="C65" s="17">
        <v>18203</v>
      </c>
      <c r="D65" s="16">
        <v>1500000</v>
      </c>
      <c r="E65" s="17">
        <v>1041572</v>
      </c>
      <c r="F65" s="16"/>
      <c r="G65" s="17"/>
      <c r="H65" s="16"/>
      <c r="I65" s="17"/>
      <c r="J65" s="16"/>
      <c r="K65" s="17"/>
      <c r="L65" s="16"/>
      <c r="M65" s="17"/>
    </row>
    <row r="66" spans="1:13" ht="15.75" customHeight="1" outlineLevel="1" x14ac:dyDescent="0.2">
      <c r="A66" s="15" t="s">
        <v>23</v>
      </c>
      <c r="B66" s="16"/>
      <c r="C66" s="17"/>
      <c r="D66" s="16">
        <v>301635516</v>
      </c>
      <c r="E66" s="17">
        <v>301635516</v>
      </c>
      <c r="F66" s="16">
        <v>39039870</v>
      </c>
      <c r="G66" s="17">
        <v>39039870</v>
      </c>
      <c r="H66" s="16">
        <v>25511892</v>
      </c>
      <c r="I66" s="17">
        <v>25499999</v>
      </c>
      <c r="J66" s="16">
        <v>3273741</v>
      </c>
      <c r="K66" s="17">
        <v>3273741</v>
      </c>
      <c r="L66" s="16">
        <v>72602439</v>
      </c>
      <c r="M66" s="17">
        <v>6963785</v>
      </c>
    </row>
    <row r="67" spans="1:13" ht="15.75" customHeight="1" outlineLevel="1" x14ac:dyDescent="0.2">
      <c r="A67" s="15" t="s">
        <v>30</v>
      </c>
      <c r="B67" s="16"/>
      <c r="C67" s="17"/>
      <c r="D67" s="16">
        <v>7374346</v>
      </c>
      <c r="E67" s="17">
        <v>7374346</v>
      </c>
      <c r="F67" s="16">
        <v>16688446</v>
      </c>
      <c r="G67" s="17">
        <v>16688446</v>
      </c>
      <c r="H67" s="16">
        <v>973015</v>
      </c>
      <c r="I67" s="17">
        <v>973015</v>
      </c>
      <c r="J67" s="16">
        <v>1221992457</v>
      </c>
      <c r="K67" s="17">
        <v>3510876</v>
      </c>
      <c r="L67" s="16">
        <v>25007976</v>
      </c>
      <c r="M67" s="17">
        <v>16765124</v>
      </c>
    </row>
    <row r="68" spans="1:13" ht="15.75" customHeight="1" x14ac:dyDescent="0.2">
      <c r="A68" s="18" t="s">
        <v>39</v>
      </c>
      <c r="B68" s="19">
        <f t="shared" ref="B68:G68" si="14">SUM(B69:B72)</f>
        <v>234951646</v>
      </c>
      <c r="C68" s="20">
        <f t="shared" si="14"/>
        <v>233888283</v>
      </c>
      <c r="D68" s="19">
        <f t="shared" si="14"/>
        <v>264708200</v>
      </c>
      <c r="E68" s="20">
        <f t="shared" si="14"/>
        <v>264585074</v>
      </c>
      <c r="F68" s="19">
        <f t="shared" si="14"/>
        <v>195605000</v>
      </c>
      <c r="G68" s="20">
        <f t="shared" si="14"/>
        <v>191835709</v>
      </c>
      <c r="H68" s="19"/>
      <c r="I68" s="20"/>
      <c r="J68" s="19"/>
      <c r="K68" s="20"/>
      <c r="L68" s="19"/>
      <c r="M68" s="20"/>
    </row>
    <row r="69" spans="1:13" ht="15.75" customHeight="1" outlineLevel="1" x14ac:dyDescent="0.2">
      <c r="A69" s="15" t="s">
        <v>12</v>
      </c>
      <c r="B69" s="16">
        <v>219247200</v>
      </c>
      <c r="C69" s="17">
        <v>218851072</v>
      </c>
      <c r="D69" s="16">
        <v>172193380</v>
      </c>
      <c r="E69" s="17">
        <v>172193379</v>
      </c>
      <c r="F69" s="16">
        <v>152547102</v>
      </c>
      <c r="G69" s="17">
        <v>148780260</v>
      </c>
      <c r="H69" s="16"/>
      <c r="I69" s="17"/>
      <c r="J69" s="16"/>
      <c r="K69" s="17"/>
      <c r="L69" s="16"/>
      <c r="M69" s="17"/>
    </row>
    <row r="70" spans="1:13" ht="15.75" customHeight="1" outlineLevel="1" x14ac:dyDescent="0.2">
      <c r="A70" s="15" t="s">
        <v>16</v>
      </c>
      <c r="B70" s="16">
        <v>4645458</v>
      </c>
      <c r="C70" s="17">
        <v>4645458</v>
      </c>
      <c r="D70" s="16">
        <v>67774153</v>
      </c>
      <c r="E70" s="17">
        <v>67688149</v>
      </c>
      <c r="F70" s="16">
        <v>34152260</v>
      </c>
      <c r="G70" s="17">
        <v>34150541</v>
      </c>
      <c r="H70" s="16"/>
      <c r="I70" s="17"/>
      <c r="J70" s="16"/>
      <c r="K70" s="17"/>
      <c r="L70" s="16"/>
      <c r="M70" s="17"/>
    </row>
    <row r="71" spans="1:13" ht="15.75" customHeight="1" outlineLevel="1" x14ac:dyDescent="0.2">
      <c r="A71" s="15" t="s">
        <v>17</v>
      </c>
      <c r="B71" s="16">
        <v>11058988</v>
      </c>
      <c r="C71" s="17">
        <v>10391753</v>
      </c>
      <c r="D71" s="16">
        <v>20820267</v>
      </c>
      <c r="E71" s="17">
        <v>20783146</v>
      </c>
      <c r="F71" s="16">
        <v>8905638</v>
      </c>
      <c r="G71" s="17">
        <v>8904908</v>
      </c>
      <c r="H71" s="16"/>
      <c r="I71" s="17"/>
      <c r="J71" s="16"/>
      <c r="K71" s="17"/>
      <c r="L71" s="16"/>
      <c r="M71" s="17"/>
    </row>
    <row r="72" spans="1:13" ht="15.75" customHeight="1" outlineLevel="1" x14ac:dyDescent="0.2">
      <c r="A72" s="15" t="s">
        <v>19</v>
      </c>
      <c r="B72" s="16"/>
      <c r="C72" s="17"/>
      <c r="D72" s="16">
        <v>3920400</v>
      </c>
      <c r="E72" s="17">
        <v>3920400</v>
      </c>
      <c r="F72" s="16"/>
      <c r="G72" s="17"/>
      <c r="H72" s="16"/>
      <c r="I72" s="17"/>
      <c r="J72" s="16"/>
      <c r="K72" s="17"/>
      <c r="L72" s="16"/>
      <c r="M72" s="17"/>
    </row>
    <row r="73" spans="1:13" ht="15.75" customHeight="1" x14ac:dyDescent="0.2">
      <c r="A73" s="18" t="s">
        <v>40</v>
      </c>
      <c r="B73" s="19">
        <f t="shared" ref="B73:G73" si="15">SUM(B74:B77)</f>
        <v>486778200</v>
      </c>
      <c r="C73" s="20">
        <f t="shared" si="15"/>
        <v>478483242</v>
      </c>
      <c r="D73" s="19">
        <f t="shared" si="15"/>
        <v>368718228</v>
      </c>
      <c r="E73" s="20">
        <f t="shared" si="15"/>
        <v>368235485</v>
      </c>
      <c r="F73" s="19">
        <f t="shared" si="15"/>
        <v>353503572</v>
      </c>
      <c r="G73" s="20">
        <f t="shared" si="15"/>
        <v>346770750</v>
      </c>
      <c r="H73" s="19"/>
      <c r="I73" s="20"/>
      <c r="J73" s="19"/>
      <c r="K73" s="20"/>
      <c r="L73" s="19"/>
      <c r="M73" s="20"/>
    </row>
    <row r="74" spans="1:13" ht="15.75" customHeight="1" outlineLevel="1" x14ac:dyDescent="0.2">
      <c r="A74" s="15" t="s">
        <v>12</v>
      </c>
      <c r="B74" s="16">
        <v>375194331</v>
      </c>
      <c r="C74" s="17">
        <v>375126860</v>
      </c>
      <c r="D74" s="16">
        <v>223105914</v>
      </c>
      <c r="E74" s="17">
        <v>223105914</v>
      </c>
      <c r="F74" s="16">
        <v>225158067</v>
      </c>
      <c r="G74" s="17">
        <v>225157991</v>
      </c>
      <c r="H74" s="16"/>
      <c r="I74" s="17"/>
      <c r="J74" s="16"/>
      <c r="K74" s="17"/>
      <c r="L74" s="16"/>
      <c r="M74" s="17"/>
    </row>
    <row r="75" spans="1:13" ht="15.75" customHeight="1" outlineLevel="1" x14ac:dyDescent="0.2">
      <c r="A75" s="15" t="s">
        <v>16</v>
      </c>
      <c r="B75" s="16">
        <v>21000000</v>
      </c>
      <c r="C75" s="17">
        <v>18764676</v>
      </c>
      <c r="D75" s="16">
        <v>18000000</v>
      </c>
      <c r="E75" s="17">
        <v>17614846</v>
      </c>
      <c r="F75" s="16"/>
      <c r="G75" s="17"/>
      <c r="H75" s="16"/>
      <c r="I75" s="17"/>
      <c r="J75" s="16"/>
      <c r="K75" s="17"/>
      <c r="L75" s="16"/>
      <c r="M75" s="17"/>
    </row>
    <row r="76" spans="1:13" ht="15.75" customHeight="1" outlineLevel="1" x14ac:dyDescent="0.2">
      <c r="A76" s="15" t="s">
        <v>17</v>
      </c>
      <c r="B76" s="16">
        <v>40583869</v>
      </c>
      <c r="C76" s="17">
        <v>34591706</v>
      </c>
      <c r="D76" s="16">
        <v>127612314</v>
      </c>
      <c r="E76" s="17">
        <v>127514725</v>
      </c>
      <c r="F76" s="16">
        <v>128345505</v>
      </c>
      <c r="G76" s="17">
        <v>121612759</v>
      </c>
      <c r="H76" s="16"/>
      <c r="I76" s="17"/>
      <c r="J76" s="16"/>
      <c r="K76" s="17"/>
      <c r="L76" s="16"/>
      <c r="M76" s="17"/>
    </row>
    <row r="77" spans="1:13" ht="15.75" customHeight="1" outlineLevel="1" x14ac:dyDescent="0.2">
      <c r="A77" s="15" t="s">
        <v>19</v>
      </c>
      <c r="B77" s="16">
        <v>50000000</v>
      </c>
      <c r="C77" s="17">
        <v>50000000</v>
      </c>
      <c r="D77" s="16"/>
      <c r="E77" s="17"/>
      <c r="F77" s="16"/>
      <c r="G77" s="17"/>
      <c r="H77" s="16"/>
      <c r="I77" s="17"/>
      <c r="J77" s="16"/>
      <c r="K77" s="17"/>
      <c r="L77" s="16"/>
      <c r="M77" s="17"/>
    </row>
    <row r="78" spans="1:13" ht="15.75" customHeight="1" x14ac:dyDescent="0.2">
      <c r="A78" s="18" t="s">
        <v>41</v>
      </c>
      <c r="B78" s="19">
        <f>SUM(B79:B83)</f>
        <v>430312098</v>
      </c>
      <c r="C78" s="20">
        <f>SUM(C79:C83)</f>
        <v>428666851</v>
      </c>
      <c r="D78" s="19">
        <f>SUM(D79:D83)</f>
        <v>38363243</v>
      </c>
      <c r="E78" s="20">
        <f>SUM(E79:E83)</f>
        <v>38363242</v>
      </c>
      <c r="F78" s="19"/>
      <c r="G78" s="20"/>
      <c r="H78" s="19">
        <f t="shared" ref="H78:M78" si="16">SUM(H79:H83)</f>
        <v>9380894976</v>
      </c>
      <c r="I78" s="20">
        <f t="shared" si="16"/>
        <v>1007637737</v>
      </c>
      <c r="J78" s="19">
        <f t="shared" si="16"/>
        <v>14624224056</v>
      </c>
      <c r="K78" s="20">
        <f t="shared" si="16"/>
        <v>7271706972</v>
      </c>
      <c r="L78" s="19">
        <f t="shared" si="16"/>
        <v>17905481027</v>
      </c>
      <c r="M78" s="20">
        <f t="shared" si="16"/>
        <v>10177356095</v>
      </c>
    </row>
    <row r="79" spans="1:13" ht="15.75" customHeight="1" outlineLevel="1" x14ac:dyDescent="0.2">
      <c r="A79" s="15" t="s">
        <v>16</v>
      </c>
      <c r="B79" s="16">
        <v>430312098</v>
      </c>
      <c r="C79" s="17">
        <v>428666851</v>
      </c>
      <c r="D79" s="16"/>
      <c r="E79" s="17"/>
      <c r="F79" s="16"/>
      <c r="G79" s="17"/>
      <c r="H79" s="16">
        <v>1651081600</v>
      </c>
      <c r="I79" s="17">
        <v>761654626</v>
      </c>
      <c r="J79" s="16">
        <v>13538646953</v>
      </c>
      <c r="K79" s="17">
        <v>6798328490</v>
      </c>
      <c r="L79" s="16">
        <v>17481144977</v>
      </c>
      <c r="M79" s="17">
        <v>9777499698</v>
      </c>
    </row>
    <row r="80" spans="1:13" ht="15.75" customHeight="1" outlineLevel="1" x14ac:dyDescent="0.2">
      <c r="A80" s="15" t="s">
        <v>36</v>
      </c>
      <c r="B80" s="16"/>
      <c r="C80" s="17"/>
      <c r="D80" s="16">
        <v>38363242</v>
      </c>
      <c r="E80" s="17">
        <v>38363242</v>
      </c>
      <c r="F80" s="16"/>
      <c r="G80" s="17"/>
      <c r="H80" s="16"/>
      <c r="I80" s="17"/>
      <c r="J80" s="16"/>
      <c r="K80" s="17"/>
      <c r="L80" s="16">
        <v>20520003</v>
      </c>
      <c r="M80" s="17">
        <v>20520003</v>
      </c>
    </row>
    <row r="81" spans="1:13" ht="15.75" customHeight="1" outlineLevel="1" x14ac:dyDescent="0.2">
      <c r="A81" s="15" t="s">
        <v>42</v>
      </c>
      <c r="B81" s="16"/>
      <c r="C81" s="17"/>
      <c r="D81" s="16">
        <v>1</v>
      </c>
      <c r="E81" s="17">
        <v>0</v>
      </c>
      <c r="F81" s="16"/>
      <c r="G81" s="17"/>
      <c r="H81" s="16">
        <v>7400044976</v>
      </c>
      <c r="I81" s="17">
        <v>0</v>
      </c>
      <c r="J81" s="16"/>
      <c r="K81" s="17"/>
      <c r="L81" s="16"/>
      <c r="M81" s="17"/>
    </row>
    <row r="82" spans="1:13" ht="15.75" customHeight="1" outlineLevel="1" x14ac:dyDescent="0.2">
      <c r="A82" s="15" t="s">
        <v>12</v>
      </c>
      <c r="B82" s="16"/>
      <c r="C82" s="17"/>
      <c r="D82" s="16"/>
      <c r="E82" s="17"/>
      <c r="F82" s="16"/>
      <c r="G82" s="17"/>
      <c r="H82" s="16">
        <v>329768400</v>
      </c>
      <c r="I82" s="17">
        <v>245983111</v>
      </c>
      <c r="J82" s="16">
        <v>493345514</v>
      </c>
      <c r="K82" s="17">
        <v>473378482</v>
      </c>
      <c r="L82" s="16">
        <v>398650089</v>
      </c>
      <c r="M82" s="17">
        <v>374170436</v>
      </c>
    </row>
    <row r="83" spans="1:13" ht="15.75" customHeight="1" outlineLevel="1" x14ac:dyDescent="0.2">
      <c r="A83" s="15" t="s">
        <v>17</v>
      </c>
      <c r="B83" s="16"/>
      <c r="C83" s="17"/>
      <c r="D83" s="16"/>
      <c r="E83" s="17"/>
      <c r="F83" s="16"/>
      <c r="G83" s="17"/>
      <c r="H83" s="16"/>
      <c r="I83" s="17"/>
      <c r="J83" s="16">
        <v>592231589</v>
      </c>
      <c r="K83" s="17">
        <v>0</v>
      </c>
      <c r="L83" s="16">
        <v>5165958</v>
      </c>
      <c r="M83" s="17">
        <v>5165958</v>
      </c>
    </row>
    <row r="84" spans="1:13" ht="15.75" customHeight="1" x14ac:dyDescent="0.2">
      <c r="A84" s="18" t="s">
        <v>43</v>
      </c>
      <c r="B84" s="19"/>
      <c r="C84" s="20"/>
      <c r="D84" s="19"/>
      <c r="E84" s="20"/>
      <c r="F84" s="19"/>
      <c r="G84" s="20"/>
      <c r="H84" s="19">
        <f t="shared" ref="H84:M84" si="17">SUM(H85:H89)</f>
        <v>1500000000</v>
      </c>
      <c r="I84" s="20">
        <f t="shared" si="17"/>
        <v>1499996988</v>
      </c>
      <c r="J84" s="19">
        <f t="shared" si="17"/>
        <v>910000000</v>
      </c>
      <c r="K84" s="20">
        <f t="shared" si="17"/>
        <v>890104262</v>
      </c>
      <c r="L84" s="19">
        <f t="shared" si="17"/>
        <v>809895738</v>
      </c>
      <c r="M84" s="20">
        <f t="shared" si="17"/>
        <v>728625523</v>
      </c>
    </row>
    <row r="85" spans="1:13" ht="15.75" customHeight="1" outlineLevel="1" x14ac:dyDescent="0.2">
      <c r="A85" s="15" t="s">
        <v>12</v>
      </c>
      <c r="B85" s="18"/>
      <c r="C85" s="22"/>
      <c r="D85" s="18"/>
      <c r="E85" s="22"/>
      <c r="F85" s="18"/>
      <c r="G85" s="22"/>
      <c r="H85" s="19">
        <v>1500000000</v>
      </c>
      <c r="I85" s="20">
        <v>1499996988</v>
      </c>
      <c r="J85" s="19">
        <v>783491343</v>
      </c>
      <c r="K85" s="20">
        <v>780149194</v>
      </c>
      <c r="L85" s="19">
        <v>454587018</v>
      </c>
      <c r="M85" s="20">
        <v>380020050</v>
      </c>
    </row>
    <row r="86" spans="1:13" ht="15.75" customHeight="1" outlineLevel="1" x14ac:dyDescent="0.2">
      <c r="A86" s="15" t="s">
        <v>16</v>
      </c>
      <c r="B86" s="18"/>
      <c r="C86" s="22"/>
      <c r="D86" s="18"/>
      <c r="E86" s="22"/>
      <c r="F86" s="18"/>
      <c r="G86" s="22"/>
      <c r="H86" s="19"/>
      <c r="I86" s="20"/>
      <c r="J86" s="19">
        <v>96300000</v>
      </c>
      <c r="K86" s="20">
        <v>80048814</v>
      </c>
      <c r="L86" s="19">
        <v>145201894</v>
      </c>
      <c r="M86" s="20">
        <v>140293459</v>
      </c>
    </row>
    <row r="87" spans="1:13" ht="15.75" customHeight="1" outlineLevel="1" x14ac:dyDescent="0.2">
      <c r="A87" s="15" t="s">
        <v>17</v>
      </c>
      <c r="B87" s="18"/>
      <c r="C87" s="22"/>
      <c r="D87" s="18"/>
      <c r="E87" s="22"/>
      <c r="F87" s="18"/>
      <c r="G87" s="22"/>
      <c r="H87" s="19"/>
      <c r="I87" s="20"/>
      <c r="J87" s="19">
        <v>2204000</v>
      </c>
      <c r="K87" s="20">
        <v>1901597</v>
      </c>
      <c r="L87" s="19">
        <v>106826</v>
      </c>
      <c r="M87" s="20">
        <v>106826</v>
      </c>
    </row>
    <row r="88" spans="1:13" ht="15.75" customHeight="1" outlineLevel="1" x14ac:dyDescent="0.2">
      <c r="A88" s="15" t="s">
        <v>18</v>
      </c>
      <c r="B88" s="18"/>
      <c r="C88" s="22"/>
      <c r="D88" s="18"/>
      <c r="E88" s="22"/>
      <c r="F88" s="18"/>
      <c r="G88" s="22"/>
      <c r="H88" s="19"/>
      <c r="I88" s="20"/>
      <c r="J88" s="19">
        <v>28004657</v>
      </c>
      <c r="K88" s="20">
        <v>28004657</v>
      </c>
      <c r="L88" s="19">
        <v>60000000</v>
      </c>
      <c r="M88" s="20">
        <v>58205188</v>
      </c>
    </row>
    <row r="89" spans="1:13" ht="15.75" customHeight="1" outlineLevel="1" x14ac:dyDescent="0.2">
      <c r="A89" s="15" t="s">
        <v>44</v>
      </c>
      <c r="B89" s="18"/>
      <c r="C89" s="22"/>
      <c r="D89" s="18"/>
      <c r="E89" s="22"/>
      <c r="F89" s="18"/>
      <c r="G89" s="22"/>
      <c r="H89" s="19"/>
      <c r="I89" s="20"/>
      <c r="J89" s="19"/>
      <c r="K89" s="20"/>
      <c r="L89" s="19">
        <v>150000000</v>
      </c>
      <c r="M89" s="20">
        <v>150000000</v>
      </c>
    </row>
    <row r="90" spans="1:13" ht="15.75" customHeight="1" x14ac:dyDescent="0.2">
      <c r="A90" s="6" t="s">
        <v>45</v>
      </c>
      <c r="B90" s="7">
        <f t="shared" ref="B90:M90" si="18">+B91+B106+B118</f>
        <v>111578778654</v>
      </c>
      <c r="C90" s="8">
        <f t="shared" si="18"/>
        <v>90511168864</v>
      </c>
      <c r="D90" s="7">
        <f t="shared" si="18"/>
        <v>122733018126</v>
      </c>
      <c r="E90" s="8">
        <f t="shared" si="18"/>
        <v>97204015373</v>
      </c>
      <c r="F90" s="7">
        <f t="shared" si="18"/>
        <v>130684040638</v>
      </c>
      <c r="G90" s="8">
        <f t="shared" si="18"/>
        <v>91702434411</v>
      </c>
      <c r="H90" s="7">
        <f t="shared" si="18"/>
        <v>132848356536</v>
      </c>
      <c r="I90" s="8">
        <f t="shared" si="18"/>
        <v>103847825646</v>
      </c>
      <c r="J90" s="7">
        <f t="shared" si="18"/>
        <v>153898207881</v>
      </c>
      <c r="K90" s="8">
        <f t="shared" si="18"/>
        <v>85984604659</v>
      </c>
      <c r="L90" s="7">
        <f t="shared" si="18"/>
        <v>156961085939</v>
      </c>
      <c r="M90" s="8">
        <f t="shared" si="18"/>
        <v>103737401937</v>
      </c>
    </row>
    <row r="91" spans="1:13" ht="15.75" customHeight="1" x14ac:dyDescent="0.2">
      <c r="A91" s="12" t="s">
        <v>46</v>
      </c>
      <c r="B91" s="13">
        <f t="shared" ref="B91:M91" si="19">SUM(B92:B105)</f>
        <v>31238611444</v>
      </c>
      <c r="C91" s="14">
        <f t="shared" si="19"/>
        <v>27909948445</v>
      </c>
      <c r="D91" s="13">
        <f t="shared" si="19"/>
        <v>30858631649</v>
      </c>
      <c r="E91" s="14">
        <f t="shared" si="19"/>
        <v>26091530183</v>
      </c>
      <c r="F91" s="13">
        <f t="shared" si="19"/>
        <v>35683919374</v>
      </c>
      <c r="G91" s="14">
        <f t="shared" si="19"/>
        <v>25767638897</v>
      </c>
      <c r="H91" s="13">
        <f t="shared" si="19"/>
        <v>33885442119</v>
      </c>
      <c r="I91" s="14">
        <f t="shared" si="19"/>
        <v>25222716476</v>
      </c>
      <c r="J91" s="13">
        <f t="shared" si="19"/>
        <v>35440281740</v>
      </c>
      <c r="K91" s="14">
        <f t="shared" si="19"/>
        <v>19519373156</v>
      </c>
      <c r="L91" s="13">
        <f t="shared" si="19"/>
        <v>35287448806</v>
      </c>
      <c r="M91" s="14">
        <f t="shared" si="19"/>
        <v>22269870603</v>
      </c>
    </row>
    <row r="92" spans="1:13" ht="15.75" customHeight="1" outlineLevel="1" x14ac:dyDescent="0.2">
      <c r="A92" s="15" t="s">
        <v>47</v>
      </c>
      <c r="B92" s="16">
        <v>306964145</v>
      </c>
      <c r="C92" s="17">
        <v>284747135</v>
      </c>
      <c r="D92" s="16">
        <v>308067669</v>
      </c>
      <c r="E92" s="17">
        <v>297438214</v>
      </c>
      <c r="F92" s="16">
        <v>394245906</v>
      </c>
      <c r="G92" s="17">
        <v>360175732</v>
      </c>
      <c r="H92" s="16">
        <v>443191541</v>
      </c>
      <c r="I92" s="17">
        <v>416332691</v>
      </c>
      <c r="J92" s="16">
        <v>497425740</v>
      </c>
      <c r="K92" s="17">
        <v>429953928</v>
      </c>
      <c r="L92" s="16">
        <v>474132797</v>
      </c>
      <c r="M92" s="17">
        <v>442419138</v>
      </c>
    </row>
    <row r="93" spans="1:13" ht="15.75" customHeight="1" outlineLevel="1" x14ac:dyDescent="0.2">
      <c r="A93" s="15" t="s">
        <v>48</v>
      </c>
      <c r="B93" s="16">
        <v>15490663714</v>
      </c>
      <c r="C93" s="17">
        <v>14366725788</v>
      </c>
      <c r="D93" s="16">
        <v>15754925109</v>
      </c>
      <c r="E93" s="17">
        <v>14524334472</v>
      </c>
      <c r="F93" s="16">
        <v>20625119198</v>
      </c>
      <c r="G93" s="17">
        <v>15098709816</v>
      </c>
      <c r="H93" s="16">
        <v>16148175208</v>
      </c>
      <c r="I93" s="17">
        <v>13613887722</v>
      </c>
      <c r="J93" s="16">
        <v>16097880329</v>
      </c>
      <c r="K93" s="17">
        <v>11911321742</v>
      </c>
      <c r="L93" s="16">
        <v>17726759336</v>
      </c>
      <c r="M93" s="17">
        <v>12626201257</v>
      </c>
    </row>
    <row r="94" spans="1:13" ht="15.75" customHeight="1" outlineLevel="1" x14ac:dyDescent="0.2">
      <c r="A94" s="15" t="s">
        <v>49</v>
      </c>
      <c r="B94" s="16">
        <v>6208457525</v>
      </c>
      <c r="C94" s="17">
        <v>5633032920</v>
      </c>
      <c r="D94" s="16">
        <v>5682304959</v>
      </c>
      <c r="E94" s="17">
        <v>4864528270</v>
      </c>
      <c r="F94" s="16">
        <v>5281170410</v>
      </c>
      <c r="G94" s="17">
        <v>4006922498</v>
      </c>
      <c r="H94" s="16">
        <v>6300613887</v>
      </c>
      <c r="I94" s="17">
        <v>4190701146</v>
      </c>
      <c r="J94" s="16">
        <v>6461816419</v>
      </c>
      <c r="K94" s="17">
        <v>3595676520</v>
      </c>
      <c r="L94" s="16">
        <v>8799048802</v>
      </c>
      <c r="M94" s="17">
        <v>5030116068</v>
      </c>
    </row>
    <row r="95" spans="1:13" ht="15.75" customHeight="1" outlineLevel="1" x14ac:dyDescent="0.2">
      <c r="A95" s="15" t="s">
        <v>50</v>
      </c>
      <c r="B95" s="16">
        <v>6812140050</v>
      </c>
      <c r="C95" s="17">
        <v>5844124618</v>
      </c>
      <c r="D95" s="16">
        <v>7355244669</v>
      </c>
      <c r="E95" s="17">
        <v>5876771774</v>
      </c>
      <c r="F95" s="16">
        <v>7545652038</v>
      </c>
      <c r="G95" s="17">
        <v>5691758713</v>
      </c>
      <c r="H95" s="16">
        <v>7555025796</v>
      </c>
      <c r="I95" s="17">
        <v>4381769078</v>
      </c>
      <c r="J95" s="16">
        <v>7817082889</v>
      </c>
      <c r="K95" s="17">
        <v>1553559665</v>
      </c>
      <c r="L95" s="16">
        <v>4811310904</v>
      </c>
      <c r="M95" s="17">
        <v>2435088060</v>
      </c>
    </row>
    <row r="96" spans="1:13" ht="15.75" customHeight="1" outlineLevel="1" x14ac:dyDescent="0.2">
      <c r="A96" s="15" t="s">
        <v>51</v>
      </c>
      <c r="B96" s="16">
        <v>14285600</v>
      </c>
      <c r="C96" s="17">
        <v>1140000</v>
      </c>
      <c r="D96" s="16">
        <v>35797500</v>
      </c>
      <c r="E96" s="17">
        <v>30750000</v>
      </c>
      <c r="F96" s="16">
        <v>24657828</v>
      </c>
      <c r="G96" s="17">
        <v>11534828</v>
      </c>
      <c r="H96" s="16">
        <v>49228643</v>
      </c>
      <c r="I96" s="17">
        <v>45208400</v>
      </c>
      <c r="J96" s="16">
        <v>16708000</v>
      </c>
      <c r="K96" s="17">
        <v>1380000</v>
      </c>
      <c r="L96" s="16">
        <v>10120522</v>
      </c>
      <c r="M96" s="17">
        <v>6212000</v>
      </c>
    </row>
    <row r="97" spans="1:13" ht="15.75" customHeight="1" outlineLevel="1" x14ac:dyDescent="0.2">
      <c r="A97" s="15" t="s">
        <v>52</v>
      </c>
      <c r="B97" s="16">
        <v>215579465</v>
      </c>
      <c r="C97" s="17">
        <v>150504602</v>
      </c>
      <c r="D97" s="16">
        <v>179994303</v>
      </c>
      <c r="E97" s="17">
        <v>162045519</v>
      </c>
      <c r="F97" s="16">
        <v>372312187</v>
      </c>
      <c r="G97" s="17">
        <v>150489275</v>
      </c>
      <c r="H97" s="16">
        <v>139806758</v>
      </c>
      <c r="I97" s="17">
        <v>40291178</v>
      </c>
      <c r="J97" s="16">
        <v>129216053</v>
      </c>
      <c r="K97" s="17">
        <v>66554174</v>
      </c>
      <c r="L97" s="16">
        <v>209258506</v>
      </c>
      <c r="M97" s="17">
        <v>144045247</v>
      </c>
    </row>
    <row r="98" spans="1:13" ht="15.75" customHeight="1" outlineLevel="1" x14ac:dyDescent="0.2">
      <c r="A98" s="15" t="s">
        <v>53</v>
      </c>
      <c r="B98" s="16">
        <v>20848950</v>
      </c>
      <c r="C98" s="17">
        <v>9027783</v>
      </c>
      <c r="D98" s="16">
        <v>33721379</v>
      </c>
      <c r="E98" s="17">
        <v>18388834</v>
      </c>
      <c r="F98" s="16">
        <v>129851165</v>
      </c>
      <c r="G98" s="17">
        <v>30880730</v>
      </c>
      <c r="H98" s="16">
        <v>39048491</v>
      </c>
      <c r="I98" s="17">
        <v>23291654</v>
      </c>
      <c r="J98" s="16">
        <v>56103471</v>
      </c>
      <c r="K98" s="17">
        <v>27930630</v>
      </c>
      <c r="L98" s="16">
        <v>91010331</v>
      </c>
      <c r="M98" s="17">
        <v>20203296</v>
      </c>
    </row>
    <row r="99" spans="1:13" ht="15.75" customHeight="1" outlineLevel="1" x14ac:dyDescent="0.2">
      <c r="A99" s="15" t="s">
        <v>54</v>
      </c>
      <c r="B99" s="16">
        <v>235349814</v>
      </c>
      <c r="C99" s="17">
        <v>212031148</v>
      </c>
      <c r="D99" s="16">
        <v>126249193</v>
      </c>
      <c r="E99" s="17">
        <v>119837264</v>
      </c>
      <c r="F99" s="16">
        <v>182004505</v>
      </c>
      <c r="G99" s="17">
        <v>117852675</v>
      </c>
      <c r="H99" s="16">
        <v>1697331777</v>
      </c>
      <c r="I99" s="17">
        <v>1610737220</v>
      </c>
      <c r="J99" s="16">
        <v>1678137387</v>
      </c>
      <c r="K99" s="17">
        <v>981225965</v>
      </c>
      <c r="L99" s="16">
        <v>140722111</v>
      </c>
      <c r="M99" s="17">
        <v>60108775</v>
      </c>
    </row>
    <row r="100" spans="1:13" ht="15.75" customHeight="1" outlineLevel="1" x14ac:dyDescent="0.2">
      <c r="A100" s="15" t="s">
        <v>55</v>
      </c>
      <c r="B100" s="16">
        <v>1612859892</v>
      </c>
      <c r="C100" s="17">
        <v>1408614451</v>
      </c>
      <c r="D100" s="16">
        <v>606234484</v>
      </c>
      <c r="E100" s="17">
        <v>197084436</v>
      </c>
      <c r="F100" s="16">
        <v>895173194</v>
      </c>
      <c r="G100" s="17">
        <v>285196024</v>
      </c>
      <c r="H100" s="16">
        <v>1341164720</v>
      </c>
      <c r="I100" s="17">
        <v>896642608</v>
      </c>
      <c r="J100" s="16">
        <v>1521850757</v>
      </c>
      <c r="K100" s="17">
        <v>947203562</v>
      </c>
      <c r="L100" s="16">
        <v>2551444524</v>
      </c>
      <c r="M100" s="17">
        <v>1505476762</v>
      </c>
    </row>
    <row r="101" spans="1:13" ht="15.75" customHeight="1" outlineLevel="1" x14ac:dyDescent="0.2">
      <c r="A101" s="15" t="s">
        <v>56</v>
      </c>
      <c r="B101" s="16">
        <v>320250408</v>
      </c>
      <c r="C101" s="17">
        <v>0</v>
      </c>
      <c r="D101" s="16">
        <v>775740984</v>
      </c>
      <c r="E101" s="17">
        <v>0</v>
      </c>
      <c r="F101" s="16">
        <v>219614337</v>
      </c>
      <c r="G101" s="17">
        <v>0</v>
      </c>
      <c r="H101" s="16">
        <v>168000519</v>
      </c>
      <c r="I101" s="17">
        <v>0</v>
      </c>
      <c r="J101" s="16">
        <v>1154489681</v>
      </c>
      <c r="K101" s="17">
        <v>0</v>
      </c>
      <c r="L101" s="16">
        <v>473640973</v>
      </c>
      <c r="M101" s="17">
        <v>0</v>
      </c>
    </row>
    <row r="102" spans="1:13" ht="15.75" customHeight="1" outlineLevel="1" x14ac:dyDescent="0.2">
      <c r="A102" s="15" t="s">
        <v>22</v>
      </c>
      <c r="B102" s="16">
        <v>1134010</v>
      </c>
      <c r="C102" s="17">
        <v>0</v>
      </c>
      <c r="D102" s="16">
        <v>351400</v>
      </c>
      <c r="E102" s="17">
        <v>351400</v>
      </c>
      <c r="F102" s="16"/>
      <c r="G102" s="17"/>
      <c r="H102" s="16"/>
      <c r="I102" s="17"/>
      <c r="J102" s="16"/>
      <c r="K102" s="17"/>
      <c r="L102" s="16"/>
      <c r="M102" s="17"/>
    </row>
    <row r="103" spans="1:13" ht="15.75" customHeight="1" outlineLevel="1" x14ac:dyDescent="0.2">
      <c r="A103" s="15" t="s">
        <v>57</v>
      </c>
      <c r="B103" s="16">
        <v>77871</v>
      </c>
      <c r="C103" s="17">
        <v>0</v>
      </c>
      <c r="D103" s="16"/>
      <c r="E103" s="17"/>
      <c r="F103" s="16"/>
      <c r="G103" s="17"/>
      <c r="H103" s="16"/>
      <c r="I103" s="17"/>
      <c r="J103" s="16"/>
      <c r="K103" s="17"/>
      <c r="L103" s="16"/>
      <c r="M103" s="17"/>
    </row>
    <row r="104" spans="1:13" ht="15.75" customHeight="1" outlineLevel="1" x14ac:dyDescent="0.2">
      <c r="A104" s="15" t="s">
        <v>58</v>
      </c>
      <c r="B104" s="16"/>
      <c r="C104" s="17"/>
      <c r="D104" s="16"/>
      <c r="E104" s="17"/>
      <c r="F104" s="16">
        <v>14118606</v>
      </c>
      <c r="G104" s="17">
        <v>14118606</v>
      </c>
      <c r="H104" s="16"/>
      <c r="I104" s="17"/>
      <c r="J104" s="16">
        <v>5000000</v>
      </c>
      <c r="K104" s="17">
        <v>0</v>
      </c>
      <c r="L104" s="16"/>
      <c r="M104" s="17"/>
    </row>
    <row r="105" spans="1:13" ht="15.75" customHeight="1" outlineLevel="1" x14ac:dyDescent="0.2">
      <c r="A105" s="15" t="s">
        <v>59</v>
      </c>
      <c r="B105" s="16"/>
      <c r="C105" s="17"/>
      <c r="D105" s="16"/>
      <c r="E105" s="17"/>
      <c r="F105" s="16"/>
      <c r="G105" s="17"/>
      <c r="H105" s="16">
        <v>3854779</v>
      </c>
      <c r="I105" s="17">
        <v>3854779</v>
      </c>
      <c r="J105" s="16">
        <v>4571014</v>
      </c>
      <c r="K105" s="17">
        <v>4566970</v>
      </c>
      <c r="L105" s="16"/>
      <c r="M105" s="17"/>
    </row>
    <row r="106" spans="1:13" ht="15.75" customHeight="1" x14ac:dyDescent="0.2">
      <c r="A106" s="18" t="s">
        <v>60</v>
      </c>
      <c r="B106" s="19">
        <f t="shared" ref="B106:M106" si="20">SUM(B107:B117)</f>
        <v>50237304596</v>
      </c>
      <c r="C106" s="20">
        <f t="shared" si="20"/>
        <v>39592687456</v>
      </c>
      <c r="D106" s="19">
        <f t="shared" si="20"/>
        <v>54639820382</v>
      </c>
      <c r="E106" s="20">
        <f t="shared" si="20"/>
        <v>43910587826</v>
      </c>
      <c r="F106" s="19">
        <f t="shared" si="20"/>
        <v>58588951610</v>
      </c>
      <c r="G106" s="20">
        <f t="shared" si="20"/>
        <v>42158475591</v>
      </c>
      <c r="H106" s="19">
        <f t="shared" si="20"/>
        <v>65265057175</v>
      </c>
      <c r="I106" s="20">
        <f t="shared" si="20"/>
        <v>53392537250</v>
      </c>
      <c r="J106" s="19">
        <f t="shared" si="20"/>
        <v>84223672596</v>
      </c>
      <c r="K106" s="20">
        <f t="shared" si="20"/>
        <v>49477673258</v>
      </c>
      <c r="L106" s="19">
        <f t="shared" si="20"/>
        <v>75538827392</v>
      </c>
      <c r="M106" s="20">
        <f t="shared" si="20"/>
        <v>49837655715</v>
      </c>
    </row>
    <row r="107" spans="1:13" ht="15.75" customHeight="1" outlineLevel="1" x14ac:dyDescent="0.2">
      <c r="A107" s="15" t="s">
        <v>61</v>
      </c>
      <c r="B107" s="16">
        <v>23877299666</v>
      </c>
      <c r="C107" s="17">
        <v>19685070987</v>
      </c>
      <c r="D107" s="16">
        <v>25504463814</v>
      </c>
      <c r="E107" s="17">
        <v>21319587795</v>
      </c>
      <c r="F107" s="16">
        <v>26086221161</v>
      </c>
      <c r="G107" s="17">
        <v>20944435365</v>
      </c>
      <c r="H107" s="16">
        <v>32801382402</v>
      </c>
      <c r="I107" s="17">
        <v>27928960973</v>
      </c>
      <c r="J107" s="16">
        <v>34715089316</v>
      </c>
      <c r="K107" s="17">
        <v>27011718570</v>
      </c>
      <c r="L107" s="16">
        <v>37081873327</v>
      </c>
      <c r="M107" s="17">
        <v>28715766819</v>
      </c>
    </row>
    <row r="108" spans="1:13" ht="15.75" customHeight="1" outlineLevel="1" x14ac:dyDescent="0.2">
      <c r="A108" s="15" t="s">
        <v>62</v>
      </c>
      <c r="B108" s="16">
        <v>1019384143</v>
      </c>
      <c r="C108" s="17">
        <v>627418984</v>
      </c>
      <c r="D108" s="16">
        <v>1337861952</v>
      </c>
      <c r="E108" s="17">
        <v>959481256</v>
      </c>
      <c r="F108" s="16">
        <v>2603202436</v>
      </c>
      <c r="G108" s="17">
        <v>1876075293</v>
      </c>
      <c r="H108" s="16">
        <v>4516941190</v>
      </c>
      <c r="I108" s="17">
        <v>3699212675</v>
      </c>
      <c r="J108" s="16">
        <v>3330298706</v>
      </c>
      <c r="K108" s="17">
        <v>1729126992</v>
      </c>
      <c r="L108" s="16">
        <v>3190392192</v>
      </c>
      <c r="M108" s="17">
        <v>2261237494</v>
      </c>
    </row>
    <row r="109" spans="1:13" ht="15.75" customHeight="1" outlineLevel="1" x14ac:dyDescent="0.2">
      <c r="A109" s="15" t="s">
        <v>63</v>
      </c>
      <c r="B109" s="16">
        <v>3762672622</v>
      </c>
      <c r="C109" s="17">
        <v>2803998385</v>
      </c>
      <c r="D109" s="16">
        <v>5305081451</v>
      </c>
      <c r="E109" s="17">
        <v>3826568920</v>
      </c>
      <c r="F109" s="16">
        <v>5321349136</v>
      </c>
      <c r="G109" s="17">
        <v>3554278386</v>
      </c>
      <c r="H109" s="16">
        <v>6044254673</v>
      </c>
      <c r="I109" s="17">
        <v>4583899162</v>
      </c>
      <c r="J109" s="16">
        <v>3107807408</v>
      </c>
      <c r="K109" s="17">
        <v>1105794570</v>
      </c>
      <c r="L109" s="16">
        <v>3315556202</v>
      </c>
      <c r="M109" s="17">
        <v>1881772507</v>
      </c>
    </row>
    <row r="110" spans="1:13" ht="15.75" customHeight="1" outlineLevel="1" x14ac:dyDescent="0.2">
      <c r="A110" s="15" t="s">
        <v>64</v>
      </c>
      <c r="B110" s="16">
        <v>812468571</v>
      </c>
      <c r="C110" s="17">
        <v>659743400</v>
      </c>
      <c r="D110" s="16">
        <v>371937781</v>
      </c>
      <c r="E110" s="17">
        <v>326214408</v>
      </c>
      <c r="F110" s="16">
        <v>760722637</v>
      </c>
      <c r="G110" s="17">
        <v>529200852</v>
      </c>
      <c r="H110" s="16">
        <v>958536420</v>
      </c>
      <c r="I110" s="17">
        <v>767774433</v>
      </c>
      <c r="J110" s="16">
        <v>1102395664</v>
      </c>
      <c r="K110" s="17">
        <v>576463566</v>
      </c>
      <c r="L110" s="16">
        <v>1323459366</v>
      </c>
      <c r="M110" s="17">
        <v>1051289026</v>
      </c>
    </row>
    <row r="111" spans="1:13" ht="15.75" customHeight="1" outlineLevel="1" x14ac:dyDescent="0.2">
      <c r="A111" s="15" t="s">
        <v>65</v>
      </c>
      <c r="B111" s="16">
        <v>7233253</v>
      </c>
      <c r="C111" s="17">
        <v>934914</v>
      </c>
      <c r="D111" s="16">
        <v>3944170</v>
      </c>
      <c r="E111" s="17">
        <v>1628570</v>
      </c>
      <c r="F111" s="16">
        <v>6971553</v>
      </c>
      <c r="G111" s="17">
        <v>2083740</v>
      </c>
      <c r="H111" s="16">
        <v>6878330</v>
      </c>
      <c r="I111" s="17">
        <v>1606934</v>
      </c>
      <c r="J111" s="16">
        <v>12071599</v>
      </c>
      <c r="K111" s="17">
        <v>1396714</v>
      </c>
      <c r="L111" s="16">
        <v>11981783</v>
      </c>
      <c r="M111" s="17">
        <v>317631</v>
      </c>
    </row>
    <row r="112" spans="1:13" ht="15.75" customHeight="1" outlineLevel="1" x14ac:dyDescent="0.2">
      <c r="A112" s="15" t="s">
        <v>66</v>
      </c>
      <c r="B112" s="16">
        <v>1347990202</v>
      </c>
      <c r="C112" s="17">
        <v>1179892795</v>
      </c>
      <c r="D112" s="16">
        <v>2003106299</v>
      </c>
      <c r="E112" s="17">
        <v>1591563570</v>
      </c>
      <c r="F112" s="16">
        <v>2870222701</v>
      </c>
      <c r="G112" s="17">
        <v>2256762984</v>
      </c>
      <c r="H112" s="16">
        <v>3049334952</v>
      </c>
      <c r="I112" s="17">
        <v>2525193803</v>
      </c>
      <c r="J112" s="16">
        <v>4005188263</v>
      </c>
      <c r="K112" s="17">
        <v>2690633291</v>
      </c>
      <c r="L112" s="16">
        <v>4166937141</v>
      </c>
      <c r="M112" s="17">
        <v>3026299365</v>
      </c>
    </row>
    <row r="113" spans="1:17" ht="15.75" customHeight="1" outlineLevel="1" x14ac:dyDescent="0.2">
      <c r="A113" s="15" t="s">
        <v>67</v>
      </c>
      <c r="B113" s="16">
        <v>18112681674</v>
      </c>
      <c r="C113" s="17">
        <v>14635627991</v>
      </c>
      <c r="D113" s="16">
        <v>19994174797</v>
      </c>
      <c r="E113" s="17">
        <v>15878286902</v>
      </c>
      <c r="F113" s="16">
        <v>18626318878</v>
      </c>
      <c r="G113" s="17">
        <v>12957778197</v>
      </c>
      <c r="H113" s="16">
        <v>17640153893</v>
      </c>
      <c r="I113" s="17">
        <v>13795938444</v>
      </c>
      <c r="J113" s="16">
        <v>21568293512</v>
      </c>
      <c r="K113" s="17">
        <v>16308475305</v>
      </c>
      <c r="L113" s="16">
        <v>18134036164</v>
      </c>
      <c r="M113" s="17">
        <v>12786481478</v>
      </c>
    </row>
    <row r="114" spans="1:17" ht="15.75" customHeight="1" outlineLevel="1" x14ac:dyDescent="0.2">
      <c r="A114" s="15" t="s">
        <v>68</v>
      </c>
      <c r="B114" s="16"/>
      <c r="C114" s="17"/>
      <c r="D114" s="16">
        <v>2200000</v>
      </c>
      <c r="E114" s="17">
        <v>1189000</v>
      </c>
      <c r="F114" s="16">
        <v>515000</v>
      </c>
      <c r="G114" s="17">
        <v>515000</v>
      </c>
      <c r="H114" s="16">
        <v>7447381</v>
      </c>
      <c r="I114" s="17">
        <v>1808500</v>
      </c>
      <c r="J114" s="16"/>
      <c r="K114" s="17"/>
      <c r="L114" s="16">
        <v>3198000</v>
      </c>
      <c r="M114" s="17">
        <v>3198000</v>
      </c>
    </row>
    <row r="115" spans="1:17" ht="15.75" customHeight="1" outlineLevel="1" x14ac:dyDescent="0.2">
      <c r="A115" s="15" t="s">
        <v>69</v>
      </c>
      <c r="B115" s="16"/>
      <c r="C115" s="17"/>
      <c r="D115" s="16">
        <v>21570119</v>
      </c>
      <c r="E115" s="17">
        <v>6067405</v>
      </c>
      <c r="F115" s="16">
        <v>41814346</v>
      </c>
      <c r="G115" s="17">
        <v>37345774</v>
      </c>
      <c r="H115" s="16">
        <v>26854567</v>
      </c>
      <c r="I115" s="17">
        <v>7653102</v>
      </c>
      <c r="J115" s="16">
        <v>19532032</v>
      </c>
      <c r="K115" s="17">
        <v>2512032</v>
      </c>
      <c r="L115" s="16">
        <v>71226699</v>
      </c>
      <c r="M115" s="17">
        <v>26293395</v>
      </c>
    </row>
    <row r="116" spans="1:17" s="26" customFormat="1" ht="15.75" customHeight="1" outlineLevel="1" x14ac:dyDescent="0.2">
      <c r="A116" s="23" t="s">
        <v>70</v>
      </c>
      <c r="B116" s="24">
        <v>1297574465</v>
      </c>
      <c r="C116" s="25"/>
      <c r="D116" s="24">
        <v>95479999</v>
      </c>
      <c r="E116" s="25"/>
      <c r="F116" s="24">
        <v>2271613762</v>
      </c>
      <c r="G116" s="25"/>
      <c r="H116" s="24">
        <v>132441578</v>
      </c>
      <c r="I116" s="25"/>
      <c r="J116" s="24">
        <v>16302058753</v>
      </c>
      <c r="K116" s="25"/>
      <c r="L116" s="24">
        <v>8155166518</v>
      </c>
      <c r="M116" s="25"/>
      <c r="Q116" s="27"/>
    </row>
    <row r="117" spans="1:17" ht="15.75" customHeight="1" outlineLevel="1" x14ac:dyDescent="0.2">
      <c r="A117" s="15" t="s">
        <v>30</v>
      </c>
      <c r="B117" s="16"/>
      <c r="C117" s="17"/>
      <c r="D117" s="16"/>
      <c r="E117" s="17"/>
      <c r="F117" s="16"/>
      <c r="G117" s="17"/>
      <c r="H117" s="16">
        <v>80831789</v>
      </c>
      <c r="I117" s="17">
        <v>80489224</v>
      </c>
      <c r="J117" s="16">
        <v>60937343</v>
      </c>
      <c r="K117" s="17">
        <v>51552218</v>
      </c>
      <c r="L117" s="16">
        <v>85000000</v>
      </c>
      <c r="M117" s="17">
        <v>85000000</v>
      </c>
      <c r="Q117" s="27"/>
    </row>
    <row r="118" spans="1:17" ht="15.75" customHeight="1" x14ac:dyDescent="0.2">
      <c r="A118" s="18" t="s">
        <v>71</v>
      </c>
      <c r="B118" s="19">
        <f t="shared" ref="B118:M118" si="21">SUM(B119:B127)</f>
        <v>30102862614</v>
      </c>
      <c r="C118" s="20">
        <f t="shared" si="21"/>
        <v>23008532963</v>
      </c>
      <c r="D118" s="19">
        <f t="shared" si="21"/>
        <v>37234566095</v>
      </c>
      <c r="E118" s="20">
        <f t="shared" si="21"/>
        <v>27201897364</v>
      </c>
      <c r="F118" s="19">
        <f t="shared" si="21"/>
        <v>36411169654</v>
      </c>
      <c r="G118" s="20">
        <f t="shared" si="21"/>
        <v>23776319923</v>
      </c>
      <c r="H118" s="19">
        <f t="shared" si="21"/>
        <v>33697857242</v>
      </c>
      <c r="I118" s="20">
        <f t="shared" si="21"/>
        <v>25232571920</v>
      </c>
      <c r="J118" s="19">
        <f t="shared" si="21"/>
        <v>34234253545</v>
      </c>
      <c r="K118" s="20">
        <f t="shared" si="21"/>
        <v>16987558245</v>
      </c>
      <c r="L118" s="19">
        <f t="shared" si="21"/>
        <v>46134809741</v>
      </c>
      <c r="M118" s="20">
        <f t="shared" si="21"/>
        <v>31629875619</v>
      </c>
      <c r="Q118" s="27"/>
    </row>
    <row r="119" spans="1:17" ht="15.75" customHeight="1" outlineLevel="1" x14ac:dyDescent="0.2">
      <c r="A119" s="15" t="s">
        <v>72</v>
      </c>
      <c r="B119" s="16">
        <v>13090456796</v>
      </c>
      <c r="C119" s="17">
        <v>11194971443</v>
      </c>
      <c r="D119" s="16">
        <v>18345451911</v>
      </c>
      <c r="E119" s="17">
        <v>14000454393</v>
      </c>
      <c r="F119" s="16">
        <v>15226589395</v>
      </c>
      <c r="G119" s="17">
        <v>10634272935</v>
      </c>
      <c r="H119" s="16">
        <v>15553224776</v>
      </c>
      <c r="I119" s="17">
        <v>12493515289</v>
      </c>
      <c r="J119" s="16">
        <v>13384304891</v>
      </c>
      <c r="K119" s="17">
        <v>9433697609</v>
      </c>
      <c r="L119" s="16">
        <v>25675941318</v>
      </c>
      <c r="M119" s="17">
        <v>21090907652</v>
      </c>
      <c r="Q119" s="27"/>
    </row>
    <row r="120" spans="1:17" ht="15.75" customHeight="1" outlineLevel="1" x14ac:dyDescent="0.2">
      <c r="A120" s="15" t="s">
        <v>73</v>
      </c>
      <c r="B120" s="16">
        <v>4372814163</v>
      </c>
      <c r="C120" s="17">
        <v>3711010778</v>
      </c>
      <c r="D120" s="16">
        <v>6494862900</v>
      </c>
      <c r="E120" s="17">
        <v>4528480076</v>
      </c>
      <c r="F120" s="16">
        <v>7425163895</v>
      </c>
      <c r="G120" s="17">
        <v>4847397610</v>
      </c>
      <c r="H120" s="16">
        <v>8398595782</v>
      </c>
      <c r="I120" s="17">
        <v>6400736185</v>
      </c>
      <c r="J120" s="16">
        <v>6411688449</v>
      </c>
      <c r="K120" s="17">
        <v>3201624874</v>
      </c>
      <c r="L120" s="16">
        <v>7658699985</v>
      </c>
      <c r="M120" s="17">
        <v>4890800562</v>
      </c>
      <c r="Q120" s="27"/>
    </row>
    <row r="121" spans="1:17" ht="15.75" customHeight="1" outlineLevel="1" x14ac:dyDescent="0.2">
      <c r="A121" s="15" t="s">
        <v>74</v>
      </c>
      <c r="B121" s="16">
        <v>6012572155</v>
      </c>
      <c r="C121" s="17">
        <v>4605167705</v>
      </c>
      <c r="D121" s="16">
        <v>8367442058</v>
      </c>
      <c r="E121" s="17">
        <v>5982958249</v>
      </c>
      <c r="F121" s="16">
        <v>6603349790</v>
      </c>
      <c r="G121" s="17">
        <v>4259130370</v>
      </c>
      <c r="H121" s="16">
        <v>6046760715</v>
      </c>
      <c r="I121" s="17">
        <v>3595917247</v>
      </c>
      <c r="J121" s="16">
        <v>3833915790</v>
      </c>
      <c r="K121" s="17">
        <v>443183547</v>
      </c>
      <c r="L121" s="16">
        <v>4289239680</v>
      </c>
      <c r="M121" s="17">
        <v>1563171984</v>
      </c>
      <c r="Q121" s="27"/>
    </row>
    <row r="122" spans="1:17" ht="15.75" customHeight="1" outlineLevel="1" x14ac:dyDescent="0.2">
      <c r="A122" s="15" t="s">
        <v>75</v>
      </c>
      <c r="B122" s="16">
        <v>1133041502</v>
      </c>
      <c r="C122" s="17">
        <v>772206960</v>
      </c>
      <c r="D122" s="16">
        <v>879499019</v>
      </c>
      <c r="E122" s="17">
        <v>513433225</v>
      </c>
      <c r="F122" s="16">
        <v>1682781530</v>
      </c>
      <c r="G122" s="17">
        <v>1432907879</v>
      </c>
      <c r="H122" s="16">
        <v>1053716847</v>
      </c>
      <c r="I122" s="17">
        <v>808880389</v>
      </c>
      <c r="J122" s="16">
        <v>1099787878</v>
      </c>
      <c r="K122" s="17">
        <v>673561786</v>
      </c>
      <c r="L122" s="16">
        <v>1224244502</v>
      </c>
      <c r="M122" s="17">
        <v>956432078</v>
      </c>
    </row>
    <row r="123" spans="1:17" ht="15.75" customHeight="1" outlineLevel="1" x14ac:dyDescent="0.2">
      <c r="A123" s="15" t="s">
        <v>76</v>
      </c>
      <c r="B123" s="16">
        <v>21855800</v>
      </c>
      <c r="C123" s="17">
        <v>6665229</v>
      </c>
      <c r="D123" s="16">
        <v>26550460</v>
      </c>
      <c r="E123" s="17">
        <v>6939843</v>
      </c>
      <c r="F123" s="16">
        <v>36857481</v>
      </c>
      <c r="G123" s="17">
        <v>10827953</v>
      </c>
      <c r="H123" s="16">
        <v>61126509</v>
      </c>
      <c r="I123" s="17">
        <v>10206183</v>
      </c>
      <c r="J123" s="16">
        <v>81721722</v>
      </c>
      <c r="K123" s="17">
        <v>4784348</v>
      </c>
      <c r="L123" s="16">
        <v>154301574</v>
      </c>
      <c r="M123" s="17">
        <v>8159126</v>
      </c>
    </row>
    <row r="124" spans="1:17" ht="15.75" customHeight="1" outlineLevel="1" x14ac:dyDescent="0.2">
      <c r="A124" s="15" t="s">
        <v>77</v>
      </c>
      <c r="B124" s="16">
        <v>3042541306</v>
      </c>
      <c r="C124" s="17">
        <v>2718510848</v>
      </c>
      <c r="D124" s="16">
        <v>2910322694</v>
      </c>
      <c r="E124" s="17">
        <v>2087674791</v>
      </c>
      <c r="F124" s="16">
        <v>3475004765</v>
      </c>
      <c r="G124" s="17">
        <v>2573001605</v>
      </c>
      <c r="H124" s="16">
        <v>2240575752</v>
      </c>
      <c r="I124" s="17">
        <v>1812250381</v>
      </c>
      <c r="J124" s="16">
        <v>2768671116</v>
      </c>
      <c r="K124" s="17">
        <v>2286202913</v>
      </c>
      <c r="L124" s="16">
        <v>2466343944</v>
      </c>
      <c r="M124" s="17">
        <v>1714752661</v>
      </c>
    </row>
    <row r="125" spans="1:17" ht="15.75" customHeight="1" outlineLevel="1" x14ac:dyDescent="0.2">
      <c r="A125" s="15" t="s">
        <v>78</v>
      </c>
      <c r="B125" s="16">
        <v>2429580892</v>
      </c>
      <c r="C125" s="17">
        <v>0</v>
      </c>
      <c r="D125" s="16">
        <v>87088606</v>
      </c>
      <c r="E125" s="17">
        <v>0</v>
      </c>
      <c r="F125" s="16">
        <v>1838640911</v>
      </c>
      <c r="G125" s="17">
        <v>0</v>
      </c>
      <c r="H125" s="16">
        <v>131004013</v>
      </c>
      <c r="I125" s="17">
        <v>0</v>
      </c>
      <c r="J125" s="16">
        <v>5541764691</v>
      </c>
      <c r="K125" s="17">
        <v>0</v>
      </c>
      <c r="L125" s="16">
        <v>2781005201</v>
      </c>
      <c r="M125" s="17">
        <v>0</v>
      </c>
    </row>
    <row r="126" spans="1:17" ht="15.75" customHeight="1" outlineLevel="1" x14ac:dyDescent="0.2">
      <c r="A126" s="15" t="s">
        <v>79</v>
      </c>
      <c r="B126" s="16"/>
      <c r="C126" s="17"/>
      <c r="D126" s="16">
        <v>123348447</v>
      </c>
      <c r="E126" s="17">
        <v>81956787</v>
      </c>
      <c r="F126" s="16">
        <v>62327031</v>
      </c>
      <c r="G126" s="17">
        <v>18781571</v>
      </c>
      <c r="H126" s="16">
        <v>129312868</v>
      </c>
      <c r="I126" s="17">
        <v>27526266</v>
      </c>
      <c r="J126" s="16">
        <v>1112399008</v>
      </c>
      <c r="K126" s="17">
        <v>944503168</v>
      </c>
      <c r="L126" s="16">
        <v>1865033537</v>
      </c>
      <c r="M126" s="17">
        <v>1400511076</v>
      </c>
    </row>
    <row r="127" spans="1:17" ht="15.75" customHeight="1" outlineLevel="1" x14ac:dyDescent="0.2">
      <c r="A127" s="28" t="s">
        <v>80</v>
      </c>
      <c r="B127" s="29"/>
      <c r="C127" s="30"/>
      <c r="D127" s="29"/>
      <c r="E127" s="30"/>
      <c r="F127" s="29">
        <v>60454856</v>
      </c>
      <c r="G127" s="30">
        <v>0</v>
      </c>
      <c r="H127" s="29">
        <v>83539980</v>
      </c>
      <c r="I127" s="30">
        <v>83539980</v>
      </c>
      <c r="J127" s="29"/>
      <c r="K127" s="30"/>
      <c r="L127" s="29">
        <v>20000000</v>
      </c>
      <c r="M127" s="30">
        <v>5140480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2024-12-12T06:42:19Z</dcterms:created>
  <dcterms:modified xsi:type="dcterms:W3CDTF">2026-10-13T16:09:11Z</dcterms:modified>
</cp:coreProperties>
</file>