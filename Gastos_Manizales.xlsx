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imenalopez/GitHub/DatosMemoria/"/>
    </mc:Choice>
  </mc:AlternateContent>
  <xr:revisionPtr revIDLastSave="0" documentId="13_ncr:1_{A74FFA2E-990B-FB4C-BC19-E35B54FBF65F}" xr6:coauthVersionLast="47" xr6:coauthVersionMax="47" xr10:uidLastSave="{00000000-0000-0000-0000-000000000000}"/>
  <workbookProtection lockStructure="1"/>
  <bookViews>
    <workbookView xWindow="0" yWindow="660" windowWidth="36120" windowHeight="184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L13" i="1"/>
  <c r="K13" i="1"/>
  <c r="K7" i="1" s="1"/>
  <c r="J13" i="1"/>
  <c r="I13" i="1"/>
  <c r="H13" i="1"/>
  <c r="M94" i="1"/>
  <c r="L94" i="1"/>
  <c r="L74" i="1" s="1"/>
  <c r="K94" i="1"/>
  <c r="J94" i="1"/>
  <c r="I94" i="1"/>
  <c r="H94" i="1"/>
  <c r="G94" i="1"/>
  <c r="F94" i="1"/>
  <c r="E94" i="1"/>
  <c r="E74" i="1" s="1"/>
  <c r="D94" i="1"/>
  <c r="D74" i="1" s="1"/>
  <c r="C94" i="1"/>
  <c r="B94" i="1"/>
  <c r="M86" i="1"/>
  <c r="L86" i="1"/>
  <c r="K86" i="1"/>
  <c r="J86" i="1"/>
  <c r="I86" i="1"/>
  <c r="H86" i="1"/>
  <c r="G86" i="1"/>
  <c r="F86" i="1"/>
  <c r="E86" i="1"/>
  <c r="D86" i="1"/>
  <c r="C86" i="1"/>
  <c r="B86" i="1"/>
  <c r="M75" i="1"/>
  <c r="L75" i="1"/>
  <c r="K75" i="1"/>
  <c r="J75" i="1"/>
  <c r="I75" i="1"/>
  <c r="I74" i="1" s="1"/>
  <c r="H75" i="1"/>
  <c r="H74" i="1" s="1"/>
  <c r="G75" i="1"/>
  <c r="G74" i="1" s="1"/>
  <c r="F75" i="1"/>
  <c r="F74" i="1" s="1"/>
  <c r="E75" i="1"/>
  <c r="D75" i="1"/>
  <c r="C75" i="1"/>
  <c r="B75" i="1"/>
  <c r="M74" i="1"/>
  <c r="K74" i="1"/>
  <c r="J74" i="1"/>
  <c r="C74" i="1"/>
  <c r="B74" i="1"/>
  <c r="M71" i="1"/>
  <c r="L71" i="1"/>
  <c r="K71" i="1"/>
  <c r="J71" i="1"/>
  <c r="G67" i="1"/>
  <c r="F67" i="1"/>
  <c r="E67" i="1"/>
  <c r="D67" i="1"/>
  <c r="G63" i="1"/>
  <c r="F63" i="1"/>
  <c r="E63" i="1"/>
  <c r="D63" i="1"/>
  <c r="C63" i="1"/>
  <c r="B63" i="1"/>
  <c r="G59" i="1"/>
  <c r="F59" i="1"/>
  <c r="E59" i="1"/>
  <c r="D59" i="1"/>
  <c r="C59" i="1"/>
  <c r="B59" i="1"/>
  <c r="M53" i="1"/>
  <c r="L53" i="1"/>
  <c r="K53" i="1"/>
  <c r="J53" i="1"/>
  <c r="I53" i="1"/>
  <c r="H53" i="1"/>
  <c r="G53" i="1"/>
  <c r="F53" i="1"/>
  <c r="E53" i="1"/>
  <c r="D53" i="1"/>
  <c r="C53" i="1"/>
  <c r="B53" i="1"/>
  <c r="M48" i="1"/>
  <c r="L48" i="1"/>
  <c r="K48" i="1"/>
  <c r="J48" i="1"/>
  <c r="I48" i="1"/>
  <c r="H48" i="1"/>
  <c r="G48" i="1"/>
  <c r="F48" i="1"/>
  <c r="E48" i="1"/>
  <c r="E25" i="1" s="1"/>
  <c r="D48" i="1"/>
  <c r="D25" i="1" s="1"/>
  <c r="C48" i="1"/>
  <c r="B48" i="1"/>
  <c r="M42" i="1"/>
  <c r="L42" i="1"/>
  <c r="K42" i="1"/>
  <c r="J42" i="1"/>
  <c r="I42" i="1"/>
  <c r="H42" i="1"/>
  <c r="G42" i="1"/>
  <c r="G25" i="1" s="1"/>
  <c r="F42" i="1"/>
  <c r="F25" i="1" s="1"/>
  <c r="E42" i="1"/>
  <c r="D42" i="1"/>
  <c r="C42" i="1"/>
  <c r="B42" i="1"/>
  <c r="M37" i="1"/>
  <c r="L37" i="1"/>
  <c r="K37" i="1"/>
  <c r="J37" i="1"/>
  <c r="I37" i="1"/>
  <c r="I25" i="1" s="1"/>
  <c r="H37" i="1"/>
  <c r="H25" i="1" s="1"/>
  <c r="G37" i="1"/>
  <c r="F37" i="1"/>
  <c r="E37" i="1"/>
  <c r="D37" i="1"/>
  <c r="C37" i="1"/>
  <c r="B37" i="1"/>
  <c r="M31" i="1"/>
  <c r="L31" i="1"/>
  <c r="K31" i="1"/>
  <c r="K25" i="1" s="1"/>
  <c r="J31" i="1"/>
  <c r="J25" i="1" s="1"/>
  <c r="I31" i="1"/>
  <c r="H31" i="1"/>
  <c r="G31" i="1"/>
  <c r="F31" i="1"/>
  <c r="E31" i="1"/>
  <c r="D31" i="1"/>
  <c r="C31" i="1"/>
  <c r="B31" i="1"/>
  <c r="M26" i="1"/>
  <c r="M25" i="1" s="1"/>
  <c r="L26" i="1"/>
  <c r="L25" i="1" s="1"/>
  <c r="I26" i="1"/>
  <c r="H26" i="1"/>
  <c r="G26" i="1"/>
  <c r="F26" i="1"/>
  <c r="E26" i="1"/>
  <c r="D26" i="1"/>
  <c r="C26" i="1"/>
  <c r="B26" i="1"/>
  <c r="C25" i="1"/>
  <c r="C6" i="1" s="1"/>
  <c r="C5" i="1" s="1"/>
  <c r="B25" i="1"/>
  <c r="B6" i="1" s="1"/>
  <c r="B5" i="1" s="1"/>
  <c r="G23" i="1"/>
  <c r="F23" i="1"/>
  <c r="E23" i="1"/>
  <c r="D23" i="1"/>
  <c r="M17" i="1"/>
  <c r="L17" i="1"/>
  <c r="K17" i="1"/>
  <c r="J17" i="1"/>
  <c r="J7" i="1" s="1"/>
  <c r="I17" i="1"/>
  <c r="I7" i="1" s="1"/>
  <c r="I6" i="1" s="1"/>
  <c r="H17" i="1"/>
  <c r="G17" i="1"/>
  <c r="F17" i="1"/>
  <c r="E17" i="1"/>
  <c r="D17" i="1"/>
  <c r="C17" i="1"/>
  <c r="B17" i="1"/>
  <c r="G13" i="1"/>
  <c r="F13" i="1"/>
  <c r="E13" i="1"/>
  <c r="E7" i="1" s="1"/>
  <c r="E6" i="1" s="1"/>
  <c r="D13" i="1"/>
  <c r="D7" i="1" s="1"/>
  <c r="D6" i="1" s="1"/>
  <c r="C13" i="1"/>
  <c r="B13" i="1"/>
  <c r="M8" i="1"/>
  <c r="L8" i="1"/>
  <c r="K8" i="1"/>
  <c r="J8" i="1"/>
  <c r="I8" i="1"/>
  <c r="H8" i="1"/>
  <c r="G8" i="1"/>
  <c r="G7" i="1" s="1"/>
  <c r="G6" i="1" s="1"/>
  <c r="G5" i="1" s="1"/>
  <c r="F8" i="1"/>
  <c r="F7" i="1" s="1"/>
  <c r="F6" i="1" s="1"/>
  <c r="F5" i="1" s="1"/>
  <c r="E8" i="1"/>
  <c r="D8" i="1"/>
  <c r="C8" i="1"/>
  <c r="B8" i="1"/>
  <c r="M7" i="1"/>
  <c r="L7" i="1"/>
  <c r="H7" i="1"/>
  <c r="C7" i="1"/>
  <c r="B7" i="1"/>
  <c r="M6" i="1" l="1"/>
  <c r="M5" i="1" s="1"/>
  <c r="L6" i="1"/>
  <c r="L5" i="1" s="1"/>
  <c r="K6" i="1"/>
  <c r="K5" i="1" s="1"/>
  <c r="I5" i="1"/>
  <c r="D5" i="1"/>
  <c r="E5" i="1"/>
  <c r="H6" i="1"/>
  <c r="H5" i="1" s="1"/>
  <c r="J6" i="1"/>
  <c r="J5" i="1" s="1"/>
</calcChain>
</file>

<file path=xl/sharedStrings.xml><?xml version="1.0" encoding="utf-8"?>
<sst xmlns="http://schemas.openxmlformats.org/spreadsheetml/2006/main" count="112" uniqueCount="70">
  <si>
    <t>GESTION GENERAL MANIZALES</t>
  </si>
  <si>
    <t>CONCEPTO</t>
  </si>
  <si>
    <t>Apropiación definitiva</t>
  </si>
  <si>
    <t>Registro</t>
  </si>
  <si>
    <t>GESTIÓN GENERAL</t>
  </si>
  <si>
    <t>- NIVEL CENTRAL</t>
  </si>
  <si>
    <t xml:space="preserve">I. Funcionamiento </t>
  </si>
  <si>
    <t>GASTOS DE PERSONAL</t>
  </si>
  <si>
    <t>SERVICIOS PERSONALES ASOCIADOS A NOMINA</t>
  </si>
  <si>
    <t>OTROS GASTOS ASOCIADOS A NOMINA</t>
  </si>
  <si>
    <t>SERVICIOS PERSONALES INDIRECTOS</t>
  </si>
  <si>
    <t>CONTRIBUCIONES INHERENTES A LA NOMINA</t>
  </si>
  <si>
    <t>GASTOS GENERALES</t>
  </si>
  <si>
    <t>ADQUISICIÓN DE BIENES</t>
  </si>
  <si>
    <t>ADQUISICIÓN DE SERVICIOS</t>
  </si>
  <si>
    <t>IMPUESTOS, CONTRIBUCIONES Y MULTAS</t>
  </si>
  <si>
    <t>TRANSFERENCIAS</t>
  </si>
  <si>
    <t>BIENESTAR ESTUDIANTES</t>
  </si>
  <si>
    <t>TRANSFERENCIAS AL SECTOR PÚBLICO</t>
  </si>
  <si>
    <t>OTRAS TRANSFERENCIAS CORRIENTES</t>
  </si>
  <si>
    <t>TRANSFERENCIAS OPERACIONES INTERNAS SIN CONTRAPRESTACIÓN</t>
  </si>
  <si>
    <t>TRANSFERENCIAS DE CAPITAL</t>
  </si>
  <si>
    <t>VIGENCIAS EXPIRADAS FUNCIONAMIENTO</t>
  </si>
  <si>
    <t>II. Inversion</t>
  </si>
  <si>
    <t>ADQUS. Y/O PRODUCC. DE EQUIPOS, MATER. SUMINIS. Y SERVICIOS PROPIOS DEL SECTOR</t>
  </si>
  <si>
    <t>VIGENCIAS EXPIRADAS GASTOS DE INVERSIÓN</t>
  </si>
  <si>
    <t>DIVULGACIÓN, ASISTENCIA TÉCNICA Y CAPACITACIÓN DEL RECURSO HUMANO.</t>
  </si>
  <si>
    <t>PRESUPUESTO POR DISTRIBUIR - DIVULGACIÓN, ASISTENCIA TÉCNICA Y CAPACITACIÓN DEL RECURSO HUMANO.</t>
  </si>
  <si>
    <t>ADMINIST., CONTROL Y ORGANIZACIÓN INSTITUCIONAL PARA APOYO A LA ADMINISTRACION DEL ESTADO</t>
  </si>
  <si>
    <t>PRESUPUESTO POR DISTRIBUIR - ADMINIST., CONTROL Y ORGANIZACIÓN INSTITUCIONAL PARA APOYO A LA ADMINIS. DE</t>
  </si>
  <si>
    <t>CONSTRUCCIÓN DE INFRAESTRUCTURA PROPIA DEL SECTOR</t>
  </si>
  <si>
    <t>PRESUPUESTO POR DISTRIBUIR - CONSTRUCCIÓN DE INFRAESTRUCTURA PROPIA DEL SECTOR</t>
  </si>
  <si>
    <t>MEJORAMIENTO Y MANTENIMIENTO DE INFRAESTRUCTURA PROPIA DEL SECTOR</t>
  </si>
  <si>
    <t>PRESUPUESTO POR DISTRIBUIR - MEJORAMIENTO Y MANTENIMIENTO DE INFRAESTRUCTURA PROPIA DEL SECTOR</t>
  </si>
  <si>
    <t>INVESTIGACION APLICADA A ESTUDIOS</t>
  </si>
  <si>
    <t xml:space="preserve">TRANSFERENCIAS </t>
  </si>
  <si>
    <t>PRESUPUESTO POR DISTRIBUIR  - INVESTIGACION APLICADA A ESTUDIOS</t>
  </si>
  <si>
    <t>ESTUDIOS DE PRE INVERSIÓN</t>
  </si>
  <si>
    <t>ASIST TÉCNICA DIVULG Y CAPACIT A FUNC DEL ESTADO PARA APOYO A LA ADMINIS DEL ESTADO</t>
  </si>
  <si>
    <t>ADQUISICIÓN DE INFRAESTRUCTURA PROPIA DEL SECTOR</t>
  </si>
  <si>
    <t>PROTECCIÓN Y BIENESTAR SOCIAL DEL RECURSO HUMANO</t>
  </si>
  <si>
    <t>p</t>
  </si>
  <si>
    <t>- FONDOS ESPECIALES</t>
  </si>
  <si>
    <t>GASTOS DESTINACION REGULADA</t>
  </si>
  <si>
    <t>BONIFICACION</t>
  </si>
  <si>
    <t>SERVICIOS PERSONALES INDIRECTOS - REGULADA</t>
  </si>
  <si>
    <t>ADQUISICIÓN DE BIENES - REGULADA</t>
  </si>
  <si>
    <t>ADQUISICIÓN DE SERVICIOS - REGULADA</t>
  </si>
  <si>
    <t>IMPUESTOS  CONTRIBUCIONES  Y MULTAS - REGULADA</t>
  </si>
  <si>
    <t>BIENESTAR UNIVERSITARIO - REGULADA</t>
  </si>
  <si>
    <t>TRANSFERENCIAS OPERACIONES INTERNAS SIN CONTRAPRESTACIÓN - REGULADA</t>
  </si>
  <si>
    <t>VIGENCIAS EXPIRADAS - REGULADA</t>
  </si>
  <si>
    <t>PRESUPUESTO POR DISTRIBUIR - REGULADA</t>
  </si>
  <si>
    <t>OTRAS TRANSFERENCIAS - REGULADA</t>
  </si>
  <si>
    <t>GASTOS DE DESTINACIÓN ESPECIFICA</t>
  </si>
  <si>
    <t>SERVICIOS PERSONALES INDIRECTOS - ESPECIFICA</t>
  </si>
  <si>
    <t>ADQUISICIÓN DE BIENES - ESPECIFICA</t>
  </si>
  <si>
    <t>ADQUISICIÓN DE SERVICIOS - ESPECIFICA</t>
  </si>
  <si>
    <t>IMPUESTOS, CONTRIBUCIONES Y MULTAS - ESPECIFICA</t>
  </si>
  <si>
    <t>TRANSFERENCIAS OPERACIONES INTERNAS SIN CONTRAPRESTACIÓN - ESPECIFICA</t>
  </si>
  <si>
    <t>VIGENCIAS EXPIRADAS -  ESPECIFICA</t>
  </si>
  <si>
    <t>PRESPUESTO POR DISTRIBUIR - GASTOS DE DESTINACIÓN ESPECÍFICA</t>
  </si>
  <si>
    <t>GASTOS DE DESTINACION ESPECIFICA  UGI FONDO</t>
  </si>
  <si>
    <t>SERVICIOS PERSONALES INDIRECTOS -  ESPECIFICA UGI FONDO</t>
  </si>
  <si>
    <t>ADQUISICIÓN DE BIENES - ESPECIFICA UGI FONDO</t>
  </si>
  <si>
    <t>ADQUISICIÓN DE SERVICIOS - ESPECIFICA UGI FONDO</t>
  </si>
  <si>
    <t>TRANSFERENCIAS OPERACIONES INTERNAS SIN CONTRAPRESTACIÓN - ESPECIFICA UGI FONDO</t>
  </si>
  <si>
    <t>PRESUPUESTO POR DISTRIBUIR -  ESPECIFICA UGI FONDO</t>
  </si>
  <si>
    <t>IMPUESTOS, CONTRIBUCIONES Y MULTAS - ESPECIFICA UGI FONDO</t>
  </si>
  <si>
    <t>VIGENCIAS EXPIRADAS -  ESPECIFICA UGI 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</si>
</sst>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/>
  </cellStyleXfs>
  <cellXfs count="47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7" xfId="0" applyFont="1" applyFill="1" applyBorder="1"/>
    <xf numFmtId="164" fontId="5" fillId="3" borderId="7" xfId="0" applyNumberFormat="1" applyFont="1" applyFill="1" applyBorder="1"/>
    <xf numFmtId="164" fontId="5" fillId="3" borderId="8" xfId="0" applyNumberFormat="1" applyFont="1" applyFill="1" applyBorder="1"/>
    <xf numFmtId="0" fontId="6" fillId="4" borderId="7" xfId="0" quotePrefix="1" applyFont="1" applyFill="1" applyBorder="1"/>
    <xf numFmtId="164" fontId="6" fillId="4" borderId="7" xfId="0" applyNumberFormat="1" applyFont="1" applyFill="1" applyBorder="1"/>
    <xf numFmtId="164" fontId="6" fillId="4" borderId="8" xfId="0" applyNumberFormat="1" applyFont="1" applyFill="1" applyBorder="1"/>
    <xf numFmtId="0" fontId="3" fillId="5" borderId="4" xfId="0" applyFont="1" applyFill="1" applyBorder="1"/>
    <xf numFmtId="164" fontId="3" fillId="5" borderId="7" xfId="0" applyNumberFormat="1" applyFont="1" applyFill="1" applyBorder="1"/>
    <xf numFmtId="164" fontId="3" fillId="5" borderId="5" xfId="0" applyNumberFormat="1" applyFont="1" applyFill="1" applyBorder="1"/>
    <xf numFmtId="164" fontId="3" fillId="5" borderId="6" xfId="0" applyNumberFormat="1" applyFont="1" applyFill="1" applyBorder="1"/>
    <xf numFmtId="0" fontId="0" fillId="0" borderId="9" xfId="0" applyBorder="1"/>
    <xf numFmtId="164" fontId="0" fillId="0" borderId="1" xfId="1" applyNumberFormat="1" applyFont="1" applyBorder="1"/>
    <xf numFmtId="164" fontId="0" fillId="0" borderId="3" xfId="1" applyNumberFormat="1" applyFont="1" applyBorder="1"/>
    <xf numFmtId="0" fontId="0" fillId="0" borderId="9" xfId="0" applyBorder="1" applyAlignment="1">
      <alignment horizontal="left" indent="3"/>
    </xf>
    <xf numFmtId="164" fontId="0" fillId="0" borderId="9" xfId="1" applyNumberFormat="1" applyFont="1" applyBorder="1" applyAlignment="1">
      <alignment horizontal="left" indent="3"/>
    </xf>
    <xf numFmtId="164" fontId="0" fillId="0" borderId="10" xfId="1" applyNumberFormat="1" applyFont="1" applyBorder="1" applyAlignment="1">
      <alignment horizontal="left" indent="3"/>
    </xf>
    <xf numFmtId="164" fontId="0" fillId="0" borderId="9" xfId="1" applyNumberFormat="1" applyFont="1" applyBorder="1"/>
    <xf numFmtId="164" fontId="0" fillId="0" borderId="10" xfId="1" applyNumberFormat="1" applyFont="1" applyBorder="1"/>
    <xf numFmtId="164" fontId="3" fillId="5" borderId="7" xfId="1" applyNumberFormat="1" applyFont="1" applyFill="1" applyBorder="1"/>
    <xf numFmtId="164" fontId="3" fillId="5" borderId="8" xfId="1" applyNumberFormat="1" applyFont="1" applyFill="1" applyBorder="1"/>
    <xf numFmtId="0" fontId="0" fillId="0" borderId="0" xfId="0" applyAlignment="1">
      <alignment vertical="center" wrapText="1"/>
    </xf>
    <xf numFmtId="164" fontId="0" fillId="0" borderId="9" xfId="1" applyNumberFormat="1" applyFont="1" applyBorder="1" applyAlignment="1">
      <alignment horizontal="left" vertical="center" wrapText="1" indent="3"/>
    </xf>
    <xf numFmtId="164" fontId="0" fillId="0" borderId="10" xfId="1" applyNumberFormat="1" applyFont="1" applyBorder="1" applyAlignment="1">
      <alignment horizontal="left" vertical="center" wrapText="1" indent="3"/>
    </xf>
    <xf numFmtId="164" fontId="0" fillId="0" borderId="9" xfId="1" applyNumberFormat="1" applyFont="1" applyBorder="1" applyAlignment="1">
      <alignment horizontal="left" vertical="center" indent="3"/>
    </xf>
    <xf numFmtId="0" fontId="0" fillId="0" borderId="9" xfId="1" applyNumberFormat="1" applyFont="1" applyBorder="1" applyAlignment="1">
      <alignment horizontal="left" indent="3"/>
    </xf>
    <xf numFmtId="0" fontId="0" fillId="0" borderId="9" xfId="0" applyBorder="1" applyAlignment="1">
      <alignment horizontal="left" vertical="center" wrapText="1" indent="3"/>
    </xf>
    <xf numFmtId="164" fontId="6" fillId="4" borderId="7" xfId="1" applyNumberFormat="1" applyFont="1" applyFill="1" applyBorder="1"/>
    <xf numFmtId="164" fontId="6" fillId="4" borderId="8" xfId="1" applyNumberFormat="1" applyFont="1" applyFill="1" applyBorder="1"/>
    <xf numFmtId="0" fontId="0" fillId="0" borderId="1" xfId="0" applyBorder="1"/>
    <xf numFmtId="0" fontId="0" fillId="0" borderId="4" xfId="0" applyBorder="1" applyAlignment="1">
      <alignment horizontal="left" indent="3"/>
    </xf>
    <xf numFmtId="164" fontId="0" fillId="0" borderId="4" xfId="1" applyNumberFormat="1" applyFont="1" applyBorder="1" applyAlignment="1">
      <alignment horizontal="left" indent="3"/>
    </xf>
    <xf numFmtId="164" fontId="0" fillId="0" borderId="6" xfId="1" applyNumberFormat="1" applyFont="1" applyBorder="1" applyAlignment="1">
      <alignment horizontal="left" indent="3"/>
    </xf>
    <xf numFmtId="0" fontId="2" fillId="2" borderId="12" xfId="0" applyFont="1" applyFill="1" applyBorder="1" applyAlignment="1">
      <alignment horizontal="center" vertical="center"/>
    </xf>
    <xf numFmtId="0" fontId="0" fillId="0" borderId="3" xfId="0" applyBorder="1"/>
    <xf numFmtId="0" fontId="4" fillId="0" borderId="11" xfId="0" applyFon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7" xfId="0" applyFont="1" applyFill="1" applyBorder="1" applyAlignment="1">
      <alignment horizontal="center" vertical="center"/>
    </xf>
    <xf numFmtId="164" fontId="0" fillId="0" borderId="9" xfId="1" applyNumberFormat="1" applyFont="1" applyFill="1" applyBorder="1" applyAlignment="1">
      <alignment horizontal="left" indent="3"/>
    </xf>
    <xf numFmtId="164" fontId="0" fillId="0" borderId="10" xfId="1" applyNumberFormat="1" applyFont="1" applyFill="1" applyBorder="1" applyAlignment="1">
      <alignment horizontal="left" indent="3"/>
    </xf>
    <xf numFmtId="164" fontId="0" fillId="0" borderId="10" xfId="1" applyNumberFormat="1" applyFont="1" applyFill="1" applyBorder="1"/>
    <xf numFmtId="164" fontId="0" fillId="0" borderId="9" xfId="1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abSelected="1" zoomScale="80" zoomScaleNormal="80" workbookViewId="0">
      <selection activeCell="L40" sqref="L40"/>
    </sheetView>
  </sheetViews>
  <sheetFormatPr baseColWidth="10" defaultColWidth="0" defaultRowHeight="15" zeroHeight="1" outlineLevelRow="1" x14ac:dyDescent="0.2"/>
  <cols>
    <col min="1" max="1" width="51.1640625" customWidth="1"/>
    <col min="2" max="3" width="23" bestFit="1" customWidth="1"/>
    <col min="4" max="4" width="24.5" bestFit="1" customWidth="1"/>
    <col min="5" max="5" width="23" bestFit="1" customWidth="1"/>
    <col min="6" max="6" width="24.5" bestFit="1" customWidth="1"/>
    <col min="7" max="7" width="23" bestFit="1" customWidth="1"/>
    <col min="8" max="8" width="24.5" bestFit="1" customWidth="1"/>
    <col min="9" max="9" width="23" bestFit="1" customWidth="1"/>
    <col min="10" max="10" width="24.5" bestFit="1" customWidth="1"/>
    <col min="11" max="11" width="23" bestFit="1" customWidth="1"/>
    <col min="12" max="12" width="24.5" bestFit="1" customWidth="1"/>
    <col min="13" max="13" width="23" bestFit="1" customWidth="1"/>
    <col min="14" max="20" width="0" hidden="1" customWidth="1"/>
    <col min="21" max="21" width="11.5" hidden="1" customWidth="1"/>
    <col min="22" max="16384" width="11.5" hidden="1"/>
  </cols>
  <sheetData>
    <row r="1" spans="1:13" x14ac:dyDescent="0.2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6"/>
    </row>
    <row r="2" spans="1:13" x14ac:dyDescent="0.2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1"/>
    </row>
    <row r="3" spans="1:13" x14ac:dyDescent="0.2">
      <c r="A3" s="42" t="s">
        <v>1</v>
      </c>
      <c r="B3" s="35">
        <v>2016</v>
      </c>
      <c r="C3" s="36"/>
      <c r="D3" s="35">
        <v>2017</v>
      </c>
      <c r="E3" s="36"/>
      <c r="F3" s="35">
        <v>2018</v>
      </c>
      <c r="G3" s="36"/>
      <c r="H3" s="35">
        <v>2019</v>
      </c>
      <c r="I3" s="36"/>
      <c r="J3" s="35">
        <v>2020</v>
      </c>
      <c r="K3" s="36"/>
      <c r="L3" s="35">
        <v>2021</v>
      </c>
      <c r="M3" s="36"/>
    </row>
    <row r="4" spans="1:13" x14ac:dyDescent="0.2">
      <c r="A4" s="39"/>
      <c r="B4" s="1" t="s">
        <v>2</v>
      </c>
      <c r="C4" s="2" t="s">
        <v>3</v>
      </c>
      <c r="D4" s="1" t="s">
        <v>2</v>
      </c>
      <c r="E4" s="2" t="s">
        <v>3</v>
      </c>
      <c r="F4" s="1" t="s">
        <v>2</v>
      </c>
      <c r="G4" s="2" t="s">
        <v>3</v>
      </c>
      <c r="H4" s="1" t="s">
        <v>2</v>
      </c>
      <c r="I4" s="2" t="s">
        <v>3</v>
      </c>
      <c r="J4" s="1" t="s">
        <v>2</v>
      </c>
      <c r="K4" s="2" t="s">
        <v>3</v>
      </c>
      <c r="L4" s="1" t="s">
        <v>2</v>
      </c>
      <c r="M4" s="2" t="s">
        <v>3</v>
      </c>
    </row>
    <row r="5" spans="1:13" ht="18.75" customHeight="1" x14ac:dyDescent="0.25">
      <c r="A5" s="3" t="s">
        <v>4</v>
      </c>
      <c r="B5" s="4">
        <f t="shared" ref="B5:M5" si="0">+B6+B74</f>
        <v>76323546124</v>
      </c>
      <c r="C5" s="5">
        <f t="shared" si="0"/>
        <v>69737471310</v>
      </c>
      <c r="D5" s="4">
        <f t="shared" si="0"/>
        <v>102927797252</v>
      </c>
      <c r="E5" s="5">
        <f t="shared" si="0"/>
        <v>91877859923</v>
      </c>
      <c r="F5" s="4">
        <f t="shared" si="0"/>
        <v>108958327193</v>
      </c>
      <c r="G5" s="5">
        <f t="shared" si="0"/>
        <v>95536287588</v>
      </c>
      <c r="H5" s="4">
        <f t="shared" si="0"/>
        <v>101623462133</v>
      </c>
      <c r="I5" s="5">
        <f t="shared" si="0"/>
        <v>84346093812</v>
      </c>
      <c r="J5" s="4">
        <f t="shared" si="0"/>
        <v>104571164171</v>
      </c>
      <c r="K5" s="5">
        <f t="shared" si="0"/>
        <v>88934036173</v>
      </c>
      <c r="L5" s="4">
        <f t="shared" si="0"/>
        <v>110312524122</v>
      </c>
      <c r="M5" s="5">
        <f t="shared" si="0"/>
        <v>93160612654</v>
      </c>
    </row>
    <row r="6" spans="1:13" ht="15.75" customHeight="1" x14ac:dyDescent="0.2">
      <c r="A6" s="6" t="s">
        <v>5</v>
      </c>
      <c r="B6" s="7">
        <f t="shared" ref="B6:M6" si="1">+B7+B25</f>
        <v>56594312210</v>
      </c>
      <c r="C6" s="8">
        <f t="shared" si="1"/>
        <v>53386577049</v>
      </c>
      <c r="D6" s="7">
        <f t="shared" si="1"/>
        <v>79094596494</v>
      </c>
      <c r="E6" s="8">
        <f t="shared" si="1"/>
        <v>74456749967</v>
      </c>
      <c r="F6" s="7">
        <f t="shared" si="1"/>
        <v>84176712011</v>
      </c>
      <c r="G6" s="8">
        <f t="shared" si="1"/>
        <v>78160764145</v>
      </c>
      <c r="H6" s="7">
        <f t="shared" si="1"/>
        <v>77818042364</v>
      </c>
      <c r="I6" s="8">
        <f t="shared" si="1"/>
        <v>66557395237</v>
      </c>
      <c r="J6" s="7">
        <f t="shared" si="1"/>
        <v>80075743526</v>
      </c>
      <c r="K6" s="8">
        <f t="shared" si="1"/>
        <v>75144350143</v>
      </c>
      <c r="L6" s="7">
        <f t="shared" si="1"/>
        <v>80395159415</v>
      </c>
      <c r="M6" s="8">
        <f t="shared" si="1"/>
        <v>73109217250</v>
      </c>
    </row>
    <row r="7" spans="1:13" x14ac:dyDescent="0.2">
      <c r="A7" s="9" t="s">
        <v>6</v>
      </c>
      <c r="B7" s="10">
        <f t="shared" ref="B7:M7" si="2">+B8+B13+B17+B23</f>
        <v>46130238313</v>
      </c>
      <c r="C7" s="11">
        <f t="shared" si="2"/>
        <v>45942867190</v>
      </c>
      <c r="D7" s="10">
        <f t="shared" si="2"/>
        <v>52417601309</v>
      </c>
      <c r="E7" s="11">
        <f t="shared" si="2"/>
        <v>52348570734</v>
      </c>
      <c r="F7" s="10">
        <f t="shared" si="2"/>
        <v>56224943273</v>
      </c>
      <c r="G7" s="11">
        <f t="shared" si="2"/>
        <v>55448988668</v>
      </c>
      <c r="H7" s="10">
        <f t="shared" si="2"/>
        <v>62912187532</v>
      </c>
      <c r="I7" s="11">
        <f t="shared" si="2"/>
        <v>60801409984</v>
      </c>
      <c r="J7" s="10">
        <f t="shared" si="2"/>
        <v>62675714123</v>
      </c>
      <c r="K7" s="11">
        <f>+K8+K13+K17+K23</f>
        <v>61206779518</v>
      </c>
      <c r="L7" s="10">
        <f t="shared" si="2"/>
        <v>66212522708</v>
      </c>
      <c r="M7" s="12">
        <f t="shared" si="2"/>
        <v>64933217116</v>
      </c>
    </row>
    <row r="8" spans="1:13" ht="15.75" customHeight="1" x14ac:dyDescent="0.2">
      <c r="A8" s="13" t="s">
        <v>7</v>
      </c>
      <c r="B8" s="14">
        <f t="shared" ref="B8:M8" si="3">SUM(B9:B12)</f>
        <v>40710394948</v>
      </c>
      <c r="C8" s="15">
        <f t="shared" si="3"/>
        <v>40710046303</v>
      </c>
      <c r="D8" s="14">
        <f t="shared" si="3"/>
        <v>46733533595</v>
      </c>
      <c r="E8" s="15">
        <f t="shared" si="3"/>
        <v>46722858796</v>
      </c>
      <c r="F8" s="14">
        <f t="shared" si="3"/>
        <v>49792583426</v>
      </c>
      <c r="G8" s="15">
        <f t="shared" si="3"/>
        <v>49610050170</v>
      </c>
      <c r="H8" s="14">
        <f t="shared" si="3"/>
        <v>55618902423</v>
      </c>
      <c r="I8" s="15">
        <f t="shared" si="3"/>
        <v>53789233173</v>
      </c>
      <c r="J8" s="14">
        <f t="shared" si="3"/>
        <v>55864373570</v>
      </c>
      <c r="K8" s="15">
        <f t="shared" si="3"/>
        <v>55608597359</v>
      </c>
      <c r="L8" s="14">
        <f t="shared" si="3"/>
        <v>58446444950</v>
      </c>
      <c r="M8" s="15">
        <f t="shared" si="3"/>
        <v>57669529369</v>
      </c>
    </row>
    <row r="9" spans="1:13" ht="15.75" customHeight="1" outlineLevel="1" x14ac:dyDescent="0.2">
      <c r="A9" s="16" t="s">
        <v>8</v>
      </c>
      <c r="B9" s="17">
        <v>24468950125</v>
      </c>
      <c r="C9" s="18">
        <v>24468950125</v>
      </c>
      <c r="D9" s="17">
        <v>27175560261</v>
      </c>
      <c r="E9" s="18">
        <v>27175560261</v>
      </c>
      <c r="F9" s="17">
        <v>29098434318</v>
      </c>
      <c r="G9" s="18">
        <v>29095363790</v>
      </c>
      <c r="H9" s="17">
        <v>32844922294</v>
      </c>
      <c r="I9" s="18">
        <v>31156722606</v>
      </c>
      <c r="J9" s="17">
        <v>32573213277</v>
      </c>
      <c r="K9" s="18">
        <v>32573213275</v>
      </c>
      <c r="L9" s="17">
        <v>33537920794</v>
      </c>
      <c r="M9" s="18">
        <v>33537920794</v>
      </c>
    </row>
    <row r="10" spans="1:13" ht="15.75" customHeight="1" outlineLevel="1" x14ac:dyDescent="0.2">
      <c r="A10" s="16" t="s">
        <v>9</v>
      </c>
      <c r="B10" s="17">
        <v>8147644086</v>
      </c>
      <c r="C10" s="18">
        <v>8147644086</v>
      </c>
      <c r="D10" s="17">
        <v>8955451140</v>
      </c>
      <c r="E10" s="18">
        <v>8955451140</v>
      </c>
      <c r="F10" s="17">
        <v>9515178316</v>
      </c>
      <c r="G10" s="18">
        <v>9515178316</v>
      </c>
      <c r="H10" s="17">
        <v>10206086649</v>
      </c>
      <c r="I10" s="18">
        <v>10206086649</v>
      </c>
      <c r="J10" s="17">
        <v>10663294511</v>
      </c>
      <c r="K10" s="18">
        <v>10663294511</v>
      </c>
      <c r="L10" s="17">
        <v>11152592667</v>
      </c>
      <c r="M10" s="18">
        <v>11152592667</v>
      </c>
    </row>
    <row r="11" spans="1:13" ht="15.75" customHeight="1" outlineLevel="1" x14ac:dyDescent="0.2">
      <c r="A11" s="16" t="s">
        <v>10</v>
      </c>
      <c r="B11" s="17">
        <v>1619635255</v>
      </c>
      <c r="C11" s="18">
        <v>1619286610</v>
      </c>
      <c r="D11" s="17">
        <v>2229412395</v>
      </c>
      <c r="E11" s="18">
        <v>2218737596</v>
      </c>
      <c r="F11" s="17">
        <v>2693112181</v>
      </c>
      <c r="G11" s="18">
        <v>2513649453</v>
      </c>
      <c r="H11" s="17">
        <v>3489593784</v>
      </c>
      <c r="I11" s="18">
        <v>3348176522</v>
      </c>
      <c r="J11" s="17">
        <v>3126926233</v>
      </c>
      <c r="K11" s="18">
        <v>2871150025</v>
      </c>
      <c r="L11" s="17">
        <v>3784000392</v>
      </c>
      <c r="M11" s="18">
        <v>3007084811</v>
      </c>
    </row>
    <row r="12" spans="1:13" ht="15.75" customHeight="1" outlineLevel="1" x14ac:dyDescent="0.2">
      <c r="A12" s="16" t="s">
        <v>11</v>
      </c>
      <c r="B12" s="17">
        <v>6474165482</v>
      </c>
      <c r="C12" s="18">
        <v>6474165482</v>
      </c>
      <c r="D12" s="17">
        <v>8373109799</v>
      </c>
      <c r="E12" s="18">
        <v>8373109799</v>
      </c>
      <c r="F12" s="17">
        <v>8485858611</v>
      </c>
      <c r="G12" s="18">
        <v>8485858611</v>
      </c>
      <c r="H12" s="43">
        <v>9078299696</v>
      </c>
      <c r="I12" s="44">
        <v>9078247396</v>
      </c>
      <c r="J12" s="43">
        <v>9500939549</v>
      </c>
      <c r="K12" s="44">
        <v>9500939548</v>
      </c>
      <c r="L12" s="43">
        <v>9971931097</v>
      </c>
      <c r="M12" s="44">
        <v>9971931097</v>
      </c>
    </row>
    <row r="13" spans="1:13" ht="15.75" customHeight="1" x14ac:dyDescent="0.2">
      <c r="A13" s="13" t="s">
        <v>12</v>
      </c>
      <c r="B13" s="19">
        <f t="shared" ref="B13:M13" si="4">SUM(B14:B16)</f>
        <v>4408604615</v>
      </c>
      <c r="C13" s="20">
        <f t="shared" si="4"/>
        <v>4256801183</v>
      </c>
      <c r="D13" s="19">
        <f t="shared" si="4"/>
        <v>4921064458</v>
      </c>
      <c r="E13" s="20">
        <f t="shared" si="4"/>
        <v>4864105155</v>
      </c>
      <c r="F13" s="19">
        <f t="shared" si="4"/>
        <v>5561270233</v>
      </c>
      <c r="G13" s="20">
        <f t="shared" si="4"/>
        <v>5067956104</v>
      </c>
      <c r="H13" s="45">
        <f t="shared" si="4"/>
        <v>5264715986</v>
      </c>
      <c r="I13" s="45">
        <f t="shared" si="4"/>
        <v>5172587588</v>
      </c>
      <c r="J13" s="45">
        <f t="shared" si="4"/>
        <v>4751575565</v>
      </c>
      <c r="K13" s="45">
        <f t="shared" si="4"/>
        <v>4344099155</v>
      </c>
      <c r="L13" s="45">
        <f t="shared" si="4"/>
        <v>5524527063</v>
      </c>
      <c r="M13" s="45">
        <f t="shared" si="4"/>
        <v>5344511875</v>
      </c>
    </row>
    <row r="14" spans="1:13" ht="15.75" customHeight="1" outlineLevel="1" x14ac:dyDescent="0.2">
      <c r="A14" s="16" t="s">
        <v>13</v>
      </c>
      <c r="B14" s="17">
        <v>516501549</v>
      </c>
      <c r="C14" s="18">
        <v>498874504</v>
      </c>
      <c r="D14" s="17">
        <v>755493316</v>
      </c>
      <c r="E14" s="18">
        <v>735849696</v>
      </c>
      <c r="F14" s="17">
        <v>1009756998</v>
      </c>
      <c r="G14" s="18">
        <v>847009077</v>
      </c>
      <c r="H14" s="43">
        <v>755422146</v>
      </c>
      <c r="I14" s="44">
        <v>711590727</v>
      </c>
      <c r="J14" s="43">
        <v>736158067</v>
      </c>
      <c r="K14" s="44">
        <v>526059513</v>
      </c>
      <c r="L14" s="43">
        <v>1103059885</v>
      </c>
      <c r="M14" s="44">
        <v>965535096</v>
      </c>
    </row>
    <row r="15" spans="1:13" ht="15.75" customHeight="1" outlineLevel="1" x14ac:dyDescent="0.2">
      <c r="A15" s="16" t="s">
        <v>14</v>
      </c>
      <c r="B15" s="17">
        <v>3300707521</v>
      </c>
      <c r="C15" s="18">
        <v>3166531134</v>
      </c>
      <c r="D15" s="17">
        <v>3490183502</v>
      </c>
      <c r="E15" s="18">
        <v>3452867819</v>
      </c>
      <c r="F15" s="17">
        <v>3932268544</v>
      </c>
      <c r="G15" s="18">
        <v>3601868837</v>
      </c>
      <c r="H15" s="17">
        <v>3862642966</v>
      </c>
      <c r="I15" s="18">
        <v>3814873287</v>
      </c>
      <c r="J15" s="17">
        <v>3375603001</v>
      </c>
      <c r="K15" s="18">
        <v>3178302975</v>
      </c>
      <c r="L15" s="17">
        <v>3766054184</v>
      </c>
      <c r="M15" s="18">
        <v>3725565627</v>
      </c>
    </row>
    <row r="16" spans="1:13" ht="15.75" customHeight="1" outlineLevel="1" x14ac:dyDescent="0.2">
      <c r="A16" s="16" t="s">
        <v>15</v>
      </c>
      <c r="B16" s="17">
        <v>591395545</v>
      </c>
      <c r="C16" s="18">
        <v>591395545</v>
      </c>
      <c r="D16" s="17">
        <v>675387640</v>
      </c>
      <c r="E16" s="18">
        <v>675387640</v>
      </c>
      <c r="F16" s="17">
        <v>619244691</v>
      </c>
      <c r="G16" s="18">
        <v>619078190</v>
      </c>
      <c r="H16" s="17">
        <v>646650874</v>
      </c>
      <c r="I16" s="18">
        <v>646123574</v>
      </c>
      <c r="J16" s="17">
        <v>639814497</v>
      </c>
      <c r="K16" s="44">
        <v>639736667</v>
      </c>
      <c r="L16" s="43">
        <v>655412994</v>
      </c>
      <c r="M16" s="44">
        <v>653411152</v>
      </c>
    </row>
    <row r="17" spans="1:16" ht="15.75" customHeight="1" x14ac:dyDescent="0.2">
      <c r="A17" s="13" t="s">
        <v>16</v>
      </c>
      <c r="B17" s="19">
        <f t="shared" ref="B17:M17" si="5">SUM(B18:B22)</f>
        <v>1011238750</v>
      </c>
      <c r="C17" s="20">
        <f t="shared" si="5"/>
        <v>976019704</v>
      </c>
      <c r="D17" s="19">
        <f t="shared" si="5"/>
        <v>757514153</v>
      </c>
      <c r="E17" s="20">
        <f t="shared" si="5"/>
        <v>757448497</v>
      </c>
      <c r="F17" s="19">
        <f t="shared" si="5"/>
        <v>870375770</v>
      </c>
      <c r="G17" s="20">
        <f t="shared" si="5"/>
        <v>770268550</v>
      </c>
      <c r="H17" s="19">
        <f t="shared" si="5"/>
        <v>2028569123</v>
      </c>
      <c r="I17" s="20">
        <f t="shared" si="5"/>
        <v>1839589223</v>
      </c>
      <c r="J17" s="19">
        <f t="shared" si="5"/>
        <v>2059764988</v>
      </c>
      <c r="K17" s="45">
        <f t="shared" si="5"/>
        <v>1254083004</v>
      </c>
      <c r="L17" s="46">
        <f t="shared" si="5"/>
        <v>2241550695</v>
      </c>
      <c r="M17" s="45">
        <f t="shared" si="5"/>
        <v>1919175872</v>
      </c>
    </row>
    <row r="18" spans="1:16" ht="15.75" customHeight="1" outlineLevel="1" x14ac:dyDescent="0.2">
      <c r="A18" s="16" t="s">
        <v>17</v>
      </c>
      <c r="B18" s="17">
        <v>973058325</v>
      </c>
      <c r="C18" s="18">
        <v>967839279</v>
      </c>
      <c r="D18" s="17">
        <v>748504116</v>
      </c>
      <c r="E18" s="18">
        <v>748438460</v>
      </c>
      <c r="F18" s="17">
        <v>765446170</v>
      </c>
      <c r="G18" s="18">
        <v>761117092</v>
      </c>
      <c r="H18" s="17">
        <v>1911792353</v>
      </c>
      <c r="I18" s="18">
        <v>1822812453</v>
      </c>
      <c r="J18" s="17">
        <v>1931712259</v>
      </c>
      <c r="K18" s="44">
        <v>1244002275</v>
      </c>
      <c r="L18" s="43">
        <v>2220004943</v>
      </c>
      <c r="M18" s="44">
        <v>1908021530</v>
      </c>
    </row>
    <row r="19" spans="1:16" ht="15.75" customHeight="1" outlineLevel="1" x14ac:dyDescent="0.2">
      <c r="A19" s="16" t="s">
        <v>18</v>
      </c>
      <c r="B19" s="17">
        <v>8180425</v>
      </c>
      <c r="C19" s="18">
        <v>8180425</v>
      </c>
      <c r="D19" s="17">
        <v>9010037</v>
      </c>
      <c r="E19" s="18">
        <v>9010037</v>
      </c>
      <c r="F19" s="17">
        <v>9200000</v>
      </c>
      <c r="G19" s="18">
        <v>9151458</v>
      </c>
      <c r="H19" s="17">
        <v>9064034</v>
      </c>
      <c r="I19" s="18">
        <v>9064034</v>
      </c>
      <c r="J19" s="17">
        <v>10080729</v>
      </c>
      <c r="K19" s="44">
        <v>10080729</v>
      </c>
      <c r="L19" s="43">
        <v>10200000</v>
      </c>
      <c r="M19" s="44">
        <v>9154342</v>
      </c>
    </row>
    <row r="20" spans="1:16" ht="15.75" customHeight="1" outlineLevel="1" x14ac:dyDescent="0.2">
      <c r="A20" s="16" t="s">
        <v>19</v>
      </c>
      <c r="B20" s="17">
        <v>30000000</v>
      </c>
      <c r="C20" s="18">
        <v>0</v>
      </c>
      <c r="D20" s="17"/>
      <c r="E20" s="18"/>
      <c r="F20" s="17">
        <v>95729600</v>
      </c>
      <c r="G20" s="18">
        <v>0</v>
      </c>
      <c r="H20" s="17">
        <v>100000000</v>
      </c>
      <c r="I20" s="18">
        <v>0</v>
      </c>
      <c r="J20" s="17">
        <v>105000000</v>
      </c>
      <c r="K20" s="44">
        <v>0</v>
      </c>
      <c r="L20" s="43">
        <v>9345752</v>
      </c>
      <c r="M20" s="44">
        <v>0</v>
      </c>
    </row>
    <row r="21" spans="1:16" ht="15.75" customHeight="1" outlineLevel="1" x14ac:dyDescent="0.2">
      <c r="A21" s="16" t="s">
        <v>20</v>
      </c>
      <c r="B21" s="17"/>
      <c r="C21" s="18"/>
      <c r="D21" s="17"/>
      <c r="E21" s="18"/>
      <c r="F21" s="17"/>
      <c r="G21" s="18"/>
      <c r="H21" s="17">
        <v>7712736</v>
      </c>
      <c r="I21" s="18">
        <v>7712736</v>
      </c>
      <c r="J21" s="17"/>
      <c r="K21" s="44"/>
      <c r="L21" s="43">
        <v>2000000</v>
      </c>
      <c r="M21" s="44">
        <v>2000000</v>
      </c>
    </row>
    <row r="22" spans="1:16" ht="15.75" customHeight="1" outlineLevel="1" x14ac:dyDescent="0.2">
      <c r="A22" s="16" t="s">
        <v>21</v>
      </c>
      <c r="B22" s="17"/>
      <c r="C22" s="18"/>
      <c r="D22" s="17"/>
      <c r="E22" s="18"/>
      <c r="F22" s="17"/>
      <c r="G22" s="18"/>
      <c r="H22" s="17"/>
      <c r="I22" s="18"/>
      <c r="J22" s="17">
        <v>12972000</v>
      </c>
      <c r="K22" s="44">
        <v>0</v>
      </c>
      <c r="L22" s="43"/>
      <c r="M22" s="44"/>
    </row>
    <row r="23" spans="1:16" ht="15.75" customHeight="1" x14ac:dyDescent="0.2">
      <c r="A23" s="13" t="s">
        <v>22</v>
      </c>
      <c r="B23" s="19"/>
      <c r="C23" s="20"/>
      <c r="D23" s="19">
        <f>SUM(D24:D24)</f>
        <v>5489103</v>
      </c>
      <c r="E23" s="20">
        <f>SUM(E24:E24)</f>
        <v>4158286</v>
      </c>
      <c r="F23" s="19">
        <f>SUM(F24:F24)</f>
        <v>713844</v>
      </c>
      <c r="G23" s="20">
        <f>SUM(G24:G24)</f>
        <v>713844</v>
      </c>
      <c r="H23" s="19"/>
      <c r="I23" s="20"/>
      <c r="J23" s="19"/>
      <c r="K23" s="45"/>
      <c r="L23" s="46"/>
      <c r="M23" s="45"/>
    </row>
    <row r="24" spans="1:16" ht="15.75" customHeight="1" outlineLevel="1" x14ac:dyDescent="0.2">
      <c r="A24" s="17" t="s">
        <v>22</v>
      </c>
      <c r="B24" s="17"/>
      <c r="C24" s="18"/>
      <c r="D24" s="17">
        <v>5489103</v>
      </c>
      <c r="E24" s="18">
        <v>4158286</v>
      </c>
      <c r="F24" s="17">
        <v>713844</v>
      </c>
      <c r="G24" s="18">
        <v>713844</v>
      </c>
      <c r="H24" s="17"/>
      <c r="I24" s="18"/>
      <c r="J24" s="17"/>
      <c r="K24" s="18"/>
      <c r="L24" s="17"/>
      <c r="M24" s="18"/>
    </row>
    <row r="25" spans="1:16" ht="15.75" customHeight="1" x14ac:dyDescent="0.2">
      <c r="A25" s="10" t="s">
        <v>23</v>
      </c>
      <c r="B25" s="21">
        <f t="shared" ref="B25:M25" si="6">+B26+B31+B37+B42+B48+B53+B59+B63+B67+B71</f>
        <v>10464073897</v>
      </c>
      <c r="C25" s="22">
        <f t="shared" si="6"/>
        <v>7443709859</v>
      </c>
      <c r="D25" s="21">
        <f t="shared" si="6"/>
        <v>26676995185</v>
      </c>
      <c r="E25" s="22">
        <f t="shared" si="6"/>
        <v>22108179233</v>
      </c>
      <c r="F25" s="21">
        <f t="shared" si="6"/>
        <v>27951768738</v>
      </c>
      <c r="G25" s="22">
        <f t="shared" si="6"/>
        <v>22711775477</v>
      </c>
      <c r="H25" s="21">
        <f t="shared" si="6"/>
        <v>14905854832</v>
      </c>
      <c r="I25" s="22">
        <f t="shared" si="6"/>
        <v>5755985253</v>
      </c>
      <c r="J25" s="21">
        <f t="shared" si="6"/>
        <v>17400029403</v>
      </c>
      <c r="K25" s="22">
        <f t="shared" si="6"/>
        <v>13937570625</v>
      </c>
      <c r="L25" s="21">
        <f t="shared" si="6"/>
        <v>14182636707</v>
      </c>
      <c r="M25" s="22">
        <f t="shared" si="6"/>
        <v>8176000134</v>
      </c>
    </row>
    <row r="26" spans="1:16" ht="15.75" customHeight="1" x14ac:dyDescent="0.2">
      <c r="A26" s="13" t="s">
        <v>24</v>
      </c>
      <c r="B26" s="19">
        <f t="shared" ref="B26:I26" si="7">SUM(B27:B30)</f>
        <v>1435326045</v>
      </c>
      <c r="C26" s="20">
        <f t="shared" si="7"/>
        <v>1426518888</v>
      </c>
      <c r="D26" s="19">
        <f t="shared" si="7"/>
        <v>2289696227</v>
      </c>
      <c r="E26" s="20">
        <f t="shared" si="7"/>
        <v>2280909664</v>
      </c>
      <c r="F26" s="19">
        <f t="shared" si="7"/>
        <v>2592733564</v>
      </c>
      <c r="G26" s="20">
        <f t="shared" si="7"/>
        <v>2569443091</v>
      </c>
      <c r="H26" s="19">
        <f t="shared" si="7"/>
        <v>5397328</v>
      </c>
      <c r="I26" s="20">
        <f t="shared" si="7"/>
        <v>5397328</v>
      </c>
      <c r="J26" s="19"/>
      <c r="K26" s="20"/>
      <c r="L26" s="19">
        <f>SUM(L27:L30)</f>
        <v>355448338</v>
      </c>
      <c r="M26" s="20">
        <f>SUM(M27:M30)</f>
        <v>255693753</v>
      </c>
    </row>
    <row r="27" spans="1:16" ht="15.75" customHeight="1" outlineLevel="1" x14ac:dyDescent="0.2">
      <c r="A27" s="17" t="s">
        <v>7</v>
      </c>
      <c r="B27" s="17">
        <v>178881651</v>
      </c>
      <c r="C27" s="18">
        <v>176947318</v>
      </c>
      <c r="D27" s="17">
        <v>351116534</v>
      </c>
      <c r="E27" s="18">
        <v>351095094</v>
      </c>
      <c r="F27" s="17">
        <v>269373465</v>
      </c>
      <c r="G27" s="18">
        <v>269373460</v>
      </c>
      <c r="H27" s="17"/>
      <c r="I27" s="18"/>
      <c r="J27" s="17"/>
      <c r="K27" s="18"/>
      <c r="L27" s="17">
        <v>23000000</v>
      </c>
      <c r="M27" s="18">
        <v>16656360</v>
      </c>
    </row>
    <row r="28" spans="1:16" ht="15.75" customHeight="1" outlineLevel="1" x14ac:dyDescent="0.2">
      <c r="A28" s="17" t="s">
        <v>12</v>
      </c>
      <c r="B28" s="17">
        <v>1245435768</v>
      </c>
      <c r="C28" s="18">
        <v>1238562945</v>
      </c>
      <c r="D28" s="17">
        <v>1937939193</v>
      </c>
      <c r="E28" s="18">
        <v>1929174070</v>
      </c>
      <c r="F28" s="17">
        <v>2322629689</v>
      </c>
      <c r="G28" s="18">
        <v>2299342131</v>
      </c>
      <c r="H28" s="17">
        <v>5397328</v>
      </c>
      <c r="I28" s="18">
        <v>5397328</v>
      </c>
      <c r="J28" s="17"/>
      <c r="K28" s="18"/>
      <c r="L28" s="17">
        <v>332448338</v>
      </c>
      <c r="M28" s="18">
        <v>239037393</v>
      </c>
    </row>
    <row r="29" spans="1:16" ht="15.75" customHeight="1" outlineLevel="1" x14ac:dyDescent="0.2">
      <c r="A29" s="17" t="s">
        <v>25</v>
      </c>
      <c r="B29" s="17">
        <v>11008626</v>
      </c>
      <c r="C29" s="18">
        <v>11008625</v>
      </c>
      <c r="D29" s="17"/>
      <c r="E29" s="18"/>
      <c r="F29" s="17"/>
      <c r="G29" s="18"/>
      <c r="H29" s="17"/>
      <c r="I29" s="18"/>
      <c r="J29" s="17"/>
      <c r="K29" s="18"/>
      <c r="L29" s="17"/>
      <c r="M29" s="18"/>
    </row>
    <row r="30" spans="1:16" ht="15.75" customHeight="1" outlineLevel="1" x14ac:dyDescent="0.2">
      <c r="A30" s="17" t="s">
        <v>16</v>
      </c>
      <c r="B30" s="17"/>
      <c r="C30" s="18"/>
      <c r="D30" s="17">
        <v>640500</v>
      </c>
      <c r="E30" s="18">
        <v>640500</v>
      </c>
      <c r="F30" s="17">
        <v>730410</v>
      </c>
      <c r="G30" s="18">
        <v>727500</v>
      </c>
      <c r="H30" s="17"/>
      <c r="I30" s="18"/>
      <c r="J30" s="17"/>
      <c r="K30" s="18"/>
      <c r="L30" s="17"/>
      <c r="M30" s="18"/>
    </row>
    <row r="31" spans="1:16" ht="15.75" customHeight="1" x14ac:dyDescent="0.2">
      <c r="A31" s="13" t="s">
        <v>26</v>
      </c>
      <c r="B31" s="19">
        <f t="shared" ref="B31:M31" si="8">SUM(B32:B36)</f>
        <v>819924818</v>
      </c>
      <c r="C31" s="20">
        <f t="shared" si="8"/>
        <v>479130287</v>
      </c>
      <c r="D31" s="19">
        <f t="shared" si="8"/>
        <v>917539850</v>
      </c>
      <c r="E31" s="20">
        <f t="shared" si="8"/>
        <v>865930599</v>
      </c>
      <c r="F31" s="19">
        <f t="shared" si="8"/>
        <v>697424534</v>
      </c>
      <c r="G31" s="20">
        <f t="shared" si="8"/>
        <v>536293918</v>
      </c>
      <c r="H31" s="19">
        <f t="shared" si="8"/>
        <v>342473624</v>
      </c>
      <c r="I31" s="20">
        <f t="shared" si="8"/>
        <v>121453912</v>
      </c>
      <c r="J31" s="19">
        <f t="shared" si="8"/>
        <v>1484683972</v>
      </c>
      <c r="K31" s="20">
        <f t="shared" si="8"/>
        <v>1141286629</v>
      </c>
      <c r="L31" s="19">
        <f t="shared" si="8"/>
        <v>1408107319</v>
      </c>
      <c r="M31" s="20">
        <f t="shared" si="8"/>
        <v>1226151886</v>
      </c>
      <c r="P31" s="23"/>
    </row>
    <row r="32" spans="1:16" ht="15.75" customHeight="1" outlineLevel="1" x14ac:dyDescent="0.2">
      <c r="A32" s="24" t="s">
        <v>7</v>
      </c>
      <c r="B32" s="24">
        <v>288564686</v>
      </c>
      <c r="C32" s="25">
        <v>283214238</v>
      </c>
      <c r="D32" s="24">
        <v>512538813</v>
      </c>
      <c r="E32" s="25">
        <v>500545644</v>
      </c>
      <c r="F32" s="24">
        <v>496888677</v>
      </c>
      <c r="G32" s="25">
        <v>404582727</v>
      </c>
      <c r="H32" s="24">
        <v>277773624</v>
      </c>
      <c r="I32" s="25">
        <v>91841828</v>
      </c>
      <c r="J32" s="24">
        <v>1335113972</v>
      </c>
      <c r="K32" s="25">
        <v>1047457711</v>
      </c>
      <c r="L32" s="24">
        <v>1136423347</v>
      </c>
      <c r="M32" s="25">
        <v>1048182230</v>
      </c>
      <c r="O32" s="23"/>
    </row>
    <row r="33" spans="1:16" ht="15.75" customHeight="1" outlineLevel="1" x14ac:dyDescent="0.2">
      <c r="A33" s="24" t="s">
        <v>12</v>
      </c>
      <c r="B33" s="24">
        <v>186183193</v>
      </c>
      <c r="C33" s="25">
        <v>176597771</v>
      </c>
      <c r="D33" s="24">
        <v>259321848</v>
      </c>
      <c r="E33" s="25">
        <v>256232535</v>
      </c>
      <c r="F33" s="24">
        <v>177863372</v>
      </c>
      <c r="G33" s="25">
        <v>131711191</v>
      </c>
      <c r="H33" s="24">
        <v>64700000</v>
      </c>
      <c r="I33" s="25">
        <v>29612084</v>
      </c>
      <c r="J33" s="24">
        <v>149570000</v>
      </c>
      <c r="K33" s="25">
        <v>93828918</v>
      </c>
      <c r="L33" s="24">
        <v>271683972</v>
      </c>
      <c r="M33" s="25">
        <v>177969656</v>
      </c>
      <c r="O33" s="23"/>
    </row>
    <row r="34" spans="1:16" ht="15.75" customHeight="1" outlineLevel="1" x14ac:dyDescent="0.2">
      <c r="A34" s="24" t="s">
        <v>16</v>
      </c>
      <c r="B34" s="24">
        <v>19396623</v>
      </c>
      <c r="C34" s="25">
        <v>19318278</v>
      </c>
      <c r="D34" s="24"/>
      <c r="E34" s="25"/>
      <c r="F34" s="24"/>
      <c r="G34" s="25"/>
      <c r="H34" s="24"/>
      <c r="I34" s="25"/>
      <c r="J34" s="24"/>
      <c r="K34" s="25"/>
      <c r="L34" s="24"/>
      <c r="M34" s="25"/>
      <c r="O34" s="23"/>
    </row>
    <row r="35" spans="1:16" ht="15.75" customHeight="1" outlineLevel="1" x14ac:dyDescent="0.2">
      <c r="A35" s="26" t="s">
        <v>27</v>
      </c>
      <c r="B35" s="24">
        <v>325780316</v>
      </c>
      <c r="C35" s="25">
        <v>0</v>
      </c>
      <c r="D35" s="24">
        <v>36526769</v>
      </c>
      <c r="E35" s="25">
        <v>0</v>
      </c>
      <c r="F35" s="24"/>
      <c r="G35" s="25"/>
      <c r="H35" s="24"/>
      <c r="I35" s="25"/>
      <c r="J35" s="24"/>
      <c r="K35" s="25"/>
      <c r="L35" s="24"/>
      <c r="M35" s="25"/>
      <c r="O35" s="23"/>
    </row>
    <row r="36" spans="1:16" ht="15.75" customHeight="1" outlineLevel="1" x14ac:dyDescent="0.2">
      <c r="A36" s="24" t="s">
        <v>16</v>
      </c>
      <c r="B36" s="17"/>
      <c r="C36" s="18"/>
      <c r="D36" s="17">
        <v>109152420</v>
      </c>
      <c r="E36" s="18">
        <v>109152420</v>
      </c>
      <c r="F36" s="17">
        <v>22672485</v>
      </c>
      <c r="G36" s="18">
        <v>0</v>
      </c>
      <c r="H36" s="17"/>
      <c r="I36" s="18"/>
      <c r="J36" s="17"/>
      <c r="K36" s="18"/>
      <c r="L36" s="17"/>
      <c r="M36" s="18"/>
      <c r="O36" s="23"/>
    </row>
    <row r="37" spans="1:16" ht="15.75" customHeight="1" x14ac:dyDescent="0.2">
      <c r="A37" s="13" t="s">
        <v>28</v>
      </c>
      <c r="B37" s="19">
        <f t="shared" ref="B37:M37" si="9">SUM(B38:B41)</f>
        <v>1267210535</v>
      </c>
      <c r="C37" s="20">
        <f t="shared" si="9"/>
        <v>1178827262</v>
      </c>
      <c r="D37" s="19">
        <f t="shared" si="9"/>
        <v>2804706234</v>
      </c>
      <c r="E37" s="20">
        <f t="shared" si="9"/>
        <v>2480276132</v>
      </c>
      <c r="F37" s="19">
        <f t="shared" si="9"/>
        <v>1708295564</v>
      </c>
      <c r="G37" s="20">
        <f t="shared" si="9"/>
        <v>1422472190</v>
      </c>
      <c r="H37" s="19">
        <f t="shared" si="9"/>
        <v>3482047990</v>
      </c>
      <c r="I37" s="20">
        <f t="shared" si="9"/>
        <v>430812202</v>
      </c>
      <c r="J37" s="19">
        <f t="shared" si="9"/>
        <v>5100961605</v>
      </c>
      <c r="K37" s="20">
        <f t="shared" si="9"/>
        <v>4407074049</v>
      </c>
      <c r="L37" s="19">
        <f t="shared" si="9"/>
        <v>4304299994</v>
      </c>
      <c r="M37" s="20">
        <f t="shared" si="9"/>
        <v>2358094509</v>
      </c>
      <c r="O37" s="23"/>
    </row>
    <row r="38" spans="1:16" ht="15.75" customHeight="1" outlineLevel="1" x14ac:dyDescent="0.2">
      <c r="A38" s="24" t="s">
        <v>7</v>
      </c>
      <c r="B38" s="24">
        <v>216215659</v>
      </c>
      <c r="C38" s="25">
        <v>185740193</v>
      </c>
      <c r="D38" s="24">
        <v>672565289</v>
      </c>
      <c r="E38" s="25">
        <v>561952059</v>
      </c>
      <c r="F38" s="24">
        <v>651803825</v>
      </c>
      <c r="G38" s="25">
        <v>541839658</v>
      </c>
      <c r="H38" s="24">
        <v>323995381</v>
      </c>
      <c r="I38" s="25">
        <v>154659288</v>
      </c>
      <c r="J38" s="24">
        <v>1471952470</v>
      </c>
      <c r="K38" s="25">
        <v>1090130552</v>
      </c>
      <c r="L38" s="24">
        <v>2328306810</v>
      </c>
      <c r="M38" s="25">
        <v>1371969049</v>
      </c>
      <c r="O38" s="23"/>
    </row>
    <row r="39" spans="1:16" ht="15.75" customHeight="1" outlineLevel="1" x14ac:dyDescent="0.2">
      <c r="A39" s="24" t="s">
        <v>12</v>
      </c>
      <c r="B39" s="24">
        <v>609032273</v>
      </c>
      <c r="C39" s="25">
        <v>551124466</v>
      </c>
      <c r="D39" s="24">
        <v>1812203488</v>
      </c>
      <c r="E39" s="25">
        <v>1625572305</v>
      </c>
      <c r="F39" s="24">
        <v>848445624</v>
      </c>
      <c r="G39" s="25">
        <v>683147329</v>
      </c>
      <c r="H39" s="24">
        <v>3129580153</v>
      </c>
      <c r="I39" s="25">
        <v>250252914</v>
      </c>
      <c r="J39" s="24">
        <v>3625009135</v>
      </c>
      <c r="K39" s="25">
        <v>3312943497</v>
      </c>
      <c r="L39" s="24">
        <v>1962296361</v>
      </c>
      <c r="M39" s="25">
        <v>986125460</v>
      </c>
      <c r="O39" s="23"/>
    </row>
    <row r="40" spans="1:16" ht="15.75" customHeight="1" outlineLevel="1" x14ac:dyDescent="0.2">
      <c r="A40" s="24" t="s">
        <v>16</v>
      </c>
      <c r="B40" s="24">
        <v>441962603</v>
      </c>
      <c r="C40" s="25">
        <v>441962603</v>
      </c>
      <c r="D40" s="24">
        <v>319937457</v>
      </c>
      <c r="E40" s="25">
        <v>292751768</v>
      </c>
      <c r="F40" s="24">
        <v>208046115</v>
      </c>
      <c r="G40" s="25">
        <v>197485203</v>
      </c>
      <c r="H40" s="24">
        <v>28472456</v>
      </c>
      <c r="I40" s="25">
        <v>25900000</v>
      </c>
      <c r="J40" s="24">
        <v>4000000</v>
      </c>
      <c r="K40" s="25">
        <v>4000000</v>
      </c>
      <c r="L40" s="24"/>
      <c r="M40" s="25"/>
      <c r="O40" s="23"/>
    </row>
    <row r="41" spans="1:16" ht="15.75" customHeight="1" outlineLevel="1" x14ac:dyDescent="0.2">
      <c r="A41" s="26" t="s">
        <v>29</v>
      </c>
      <c r="B41" s="17"/>
      <c r="C41" s="18"/>
      <c r="D41" s="17"/>
      <c r="E41" s="18"/>
      <c r="F41" s="17"/>
      <c r="G41" s="18"/>
      <c r="H41" s="17"/>
      <c r="I41" s="18"/>
      <c r="J41" s="17"/>
      <c r="K41" s="18"/>
      <c r="L41" s="17">
        <v>13696823</v>
      </c>
      <c r="M41" s="18">
        <v>0</v>
      </c>
      <c r="O41" s="23"/>
    </row>
    <row r="42" spans="1:16" ht="15.75" customHeight="1" x14ac:dyDescent="0.2">
      <c r="A42" s="13" t="s">
        <v>30</v>
      </c>
      <c r="B42" s="19">
        <f t="shared" ref="B42:M42" si="10">SUM(B43:B47)</f>
        <v>3163428989</v>
      </c>
      <c r="C42" s="20">
        <f t="shared" si="10"/>
        <v>2149193657</v>
      </c>
      <c r="D42" s="19">
        <f t="shared" si="10"/>
        <v>11236347301</v>
      </c>
      <c r="E42" s="20">
        <f t="shared" si="10"/>
        <v>9762406199</v>
      </c>
      <c r="F42" s="19">
        <f t="shared" si="10"/>
        <v>18475814904</v>
      </c>
      <c r="G42" s="20">
        <f t="shared" si="10"/>
        <v>14480433080</v>
      </c>
      <c r="H42" s="19">
        <f t="shared" si="10"/>
        <v>4175155581</v>
      </c>
      <c r="I42" s="20">
        <f t="shared" si="10"/>
        <v>3992313828</v>
      </c>
      <c r="J42" s="19">
        <f t="shared" si="10"/>
        <v>229905184</v>
      </c>
      <c r="K42" s="20">
        <f t="shared" si="10"/>
        <v>179831727</v>
      </c>
      <c r="L42" s="19">
        <f t="shared" si="10"/>
        <v>1924801863</v>
      </c>
      <c r="M42" s="20">
        <f t="shared" si="10"/>
        <v>688591311</v>
      </c>
      <c r="O42" s="23"/>
      <c r="P42" s="23"/>
    </row>
    <row r="43" spans="1:16" ht="15.75" customHeight="1" outlineLevel="1" x14ac:dyDescent="0.2">
      <c r="A43" s="24" t="s">
        <v>12</v>
      </c>
      <c r="B43" s="24">
        <v>3163428989</v>
      </c>
      <c r="C43" s="25">
        <v>2149193657</v>
      </c>
      <c r="D43" s="24">
        <v>10997324245</v>
      </c>
      <c r="E43" s="25">
        <v>9558522721</v>
      </c>
      <c r="F43" s="24">
        <v>18239032620</v>
      </c>
      <c r="G43" s="25">
        <v>14360935905</v>
      </c>
      <c r="H43" s="24">
        <v>3985567396</v>
      </c>
      <c r="I43" s="25">
        <v>3932851507</v>
      </c>
      <c r="J43" s="24">
        <v>49773757</v>
      </c>
      <c r="K43" s="25">
        <v>0</v>
      </c>
      <c r="L43" s="24">
        <v>1489568055</v>
      </c>
      <c r="M43" s="25">
        <v>445495769</v>
      </c>
      <c r="O43" s="23"/>
    </row>
    <row r="44" spans="1:16" ht="15.75" customHeight="1" outlineLevel="1" x14ac:dyDescent="0.2">
      <c r="A44" s="24" t="s">
        <v>7</v>
      </c>
      <c r="B44" s="17"/>
      <c r="C44" s="18"/>
      <c r="D44" s="17">
        <v>239023056</v>
      </c>
      <c r="E44" s="18">
        <v>203883478</v>
      </c>
      <c r="F44" s="17">
        <v>144225729</v>
      </c>
      <c r="G44" s="18">
        <v>118563778</v>
      </c>
      <c r="H44" s="17">
        <v>55327210</v>
      </c>
      <c r="I44" s="18">
        <v>55201346</v>
      </c>
      <c r="J44" s="17"/>
      <c r="K44" s="18"/>
      <c r="L44" s="17"/>
      <c r="M44" s="18"/>
      <c r="O44" s="23"/>
    </row>
    <row r="45" spans="1:16" ht="15.75" customHeight="1" outlineLevel="1" x14ac:dyDescent="0.2">
      <c r="A45" s="24" t="s">
        <v>15</v>
      </c>
      <c r="B45" s="17"/>
      <c r="C45" s="18"/>
      <c r="D45" s="17"/>
      <c r="E45" s="18"/>
      <c r="F45" s="17">
        <v>933397</v>
      </c>
      <c r="G45" s="18">
        <v>933397</v>
      </c>
      <c r="H45" s="17">
        <v>1630531</v>
      </c>
      <c r="I45" s="18">
        <v>1630531</v>
      </c>
      <c r="J45" s="17"/>
      <c r="K45" s="18"/>
      <c r="L45" s="17"/>
      <c r="M45" s="18"/>
      <c r="O45" s="23"/>
    </row>
    <row r="46" spans="1:16" ht="15.75" customHeight="1" outlineLevel="1" x14ac:dyDescent="0.2">
      <c r="A46" s="26" t="s">
        <v>25</v>
      </c>
      <c r="B46" s="17"/>
      <c r="C46" s="18"/>
      <c r="D46" s="17"/>
      <c r="E46" s="18"/>
      <c r="F46" s="17">
        <v>91623158</v>
      </c>
      <c r="G46" s="18">
        <v>0</v>
      </c>
      <c r="H46" s="17">
        <v>132630444</v>
      </c>
      <c r="I46" s="18">
        <v>2630444</v>
      </c>
      <c r="J46" s="17">
        <v>180131427</v>
      </c>
      <c r="K46" s="18">
        <v>179831727</v>
      </c>
      <c r="L46" s="17">
        <v>243095542</v>
      </c>
      <c r="M46" s="18">
        <v>243095542</v>
      </c>
      <c r="O46" s="23"/>
    </row>
    <row r="47" spans="1:16" ht="15.75" customHeight="1" outlineLevel="1" x14ac:dyDescent="0.2">
      <c r="A47" s="26" t="s">
        <v>31</v>
      </c>
      <c r="B47" s="17"/>
      <c r="C47" s="18"/>
      <c r="D47" s="17"/>
      <c r="E47" s="18"/>
      <c r="F47" s="17"/>
      <c r="G47" s="18"/>
      <c r="H47" s="17"/>
      <c r="I47" s="18"/>
      <c r="J47" s="17"/>
      <c r="K47" s="18"/>
      <c r="L47" s="17">
        <v>192138266</v>
      </c>
      <c r="M47" s="18">
        <v>0</v>
      </c>
      <c r="O47" s="23"/>
    </row>
    <row r="48" spans="1:16" ht="15.75" customHeight="1" x14ac:dyDescent="0.2">
      <c r="A48" s="13" t="s">
        <v>32</v>
      </c>
      <c r="B48" s="19">
        <f t="shared" ref="B48:M48" si="11">SUM(B49:B52)</f>
        <v>1683325827</v>
      </c>
      <c r="C48" s="20">
        <f t="shared" si="11"/>
        <v>1366802692</v>
      </c>
      <c r="D48" s="19">
        <f t="shared" si="11"/>
        <v>4702323855</v>
      </c>
      <c r="E48" s="20">
        <f t="shared" si="11"/>
        <v>4613075858</v>
      </c>
      <c r="F48" s="19">
        <f t="shared" si="11"/>
        <v>1031504969</v>
      </c>
      <c r="G48" s="20">
        <f t="shared" si="11"/>
        <v>730639422</v>
      </c>
      <c r="H48" s="19">
        <f t="shared" si="11"/>
        <v>5978738178</v>
      </c>
      <c r="I48" s="20">
        <f t="shared" si="11"/>
        <v>584031807</v>
      </c>
      <c r="J48" s="19">
        <f t="shared" si="11"/>
        <v>8503910392</v>
      </c>
      <c r="K48" s="20">
        <f t="shared" si="11"/>
        <v>7402513609</v>
      </c>
      <c r="L48" s="19">
        <f t="shared" si="11"/>
        <v>2772673333</v>
      </c>
      <c r="M48" s="20">
        <f t="shared" si="11"/>
        <v>2110166688</v>
      </c>
      <c r="O48" s="23"/>
    </row>
    <row r="49" spans="1:20" ht="15.75" customHeight="1" outlineLevel="1" x14ac:dyDescent="0.2">
      <c r="A49" s="24" t="s">
        <v>7</v>
      </c>
      <c r="B49" s="24">
        <v>10062233</v>
      </c>
      <c r="C49" s="25">
        <v>10062233</v>
      </c>
      <c r="D49" s="24">
        <v>178553505</v>
      </c>
      <c r="E49" s="25">
        <v>171520605</v>
      </c>
      <c r="F49" s="24">
        <v>120847870</v>
      </c>
      <c r="G49" s="25">
        <v>113141673</v>
      </c>
      <c r="H49" s="24">
        <v>138526866</v>
      </c>
      <c r="I49" s="25">
        <v>75058379</v>
      </c>
      <c r="J49" s="24">
        <v>1470000000</v>
      </c>
      <c r="K49" s="25">
        <v>1284439158</v>
      </c>
      <c r="L49" s="24">
        <v>821276550</v>
      </c>
      <c r="M49" s="25">
        <v>703770083</v>
      </c>
      <c r="O49" s="23"/>
    </row>
    <row r="50" spans="1:20" ht="15.75" customHeight="1" outlineLevel="1" x14ac:dyDescent="0.2">
      <c r="A50" s="24" t="s">
        <v>12</v>
      </c>
      <c r="B50" s="24">
        <v>1389937767</v>
      </c>
      <c r="C50" s="25">
        <v>1356740459</v>
      </c>
      <c r="D50" s="24">
        <v>4506422034</v>
      </c>
      <c r="E50" s="25">
        <v>4424206939</v>
      </c>
      <c r="F50" s="24">
        <v>908425155</v>
      </c>
      <c r="G50" s="25">
        <v>615353507</v>
      </c>
      <c r="H50" s="24">
        <v>637330520</v>
      </c>
      <c r="I50" s="25">
        <v>508973428</v>
      </c>
      <c r="J50" s="24">
        <v>7013910392</v>
      </c>
      <c r="K50" s="25">
        <v>6117232155</v>
      </c>
      <c r="L50" s="24">
        <v>1931396783</v>
      </c>
      <c r="M50" s="25">
        <v>1406394573</v>
      </c>
      <c r="O50" s="23"/>
    </row>
    <row r="51" spans="1:20" ht="15.75" customHeight="1" outlineLevel="1" x14ac:dyDescent="0.2">
      <c r="A51" s="26" t="s">
        <v>33</v>
      </c>
      <c r="B51" s="24">
        <v>283325827</v>
      </c>
      <c r="C51" s="25">
        <v>0</v>
      </c>
      <c r="D51" s="24"/>
      <c r="E51" s="25"/>
      <c r="F51" s="24"/>
      <c r="G51" s="25"/>
      <c r="H51" s="24">
        <v>5202872631</v>
      </c>
      <c r="I51" s="25">
        <v>0</v>
      </c>
      <c r="J51" s="24"/>
      <c r="K51" s="25"/>
      <c r="L51" s="24"/>
      <c r="M51" s="25"/>
      <c r="O51" s="23"/>
      <c r="P51" s="23"/>
    </row>
    <row r="52" spans="1:20" ht="15.75" customHeight="1" outlineLevel="1" x14ac:dyDescent="0.2">
      <c r="A52" s="24" t="s">
        <v>15</v>
      </c>
      <c r="B52" s="17"/>
      <c r="C52" s="18"/>
      <c r="D52" s="17">
        <v>17348316</v>
      </c>
      <c r="E52" s="18">
        <v>17348314</v>
      </c>
      <c r="F52" s="17">
        <v>2231944</v>
      </c>
      <c r="G52" s="18">
        <v>2144242</v>
      </c>
      <c r="H52" s="17">
        <v>8161</v>
      </c>
      <c r="I52" s="18">
        <v>0</v>
      </c>
      <c r="J52" s="17">
        <v>20000000</v>
      </c>
      <c r="K52" s="18">
        <v>842296</v>
      </c>
      <c r="L52" s="17">
        <v>20000000</v>
      </c>
      <c r="M52" s="18">
        <v>2032</v>
      </c>
      <c r="O52" s="23"/>
    </row>
    <row r="53" spans="1:20" ht="15.75" customHeight="1" x14ac:dyDescent="0.2">
      <c r="A53" s="13" t="s">
        <v>34</v>
      </c>
      <c r="B53" s="19">
        <f t="shared" ref="B53:M53" si="12">SUM(B54:B58)</f>
        <v>1635716121</v>
      </c>
      <c r="C53" s="20">
        <f t="shared" si="12"/>
        <v>605402562</v>
      </c>
      <c r="D53" s="19">
        <f t="shared" si="12"/>
        <v>2441126454</v>
      </c>
      <c r="E53" s="20">
        <f t="shared" si="12"/>
        <v>1616957879</v>
      </c>
      <c r="F53" s="19">
        <f t="shared" si="12"/>
        <v>1517061998</v>
      </c>
      <c r="G53" s="20">
        <f t="shared" si="12"/>
        <v>1064269446</v>
      </c>
      <c r="H53" s="19">
        <f t="shared" si="12"/>
        <v>922042131</v>
      </c>
      <c r="I53" s="20">
        <f t="shared" si="12"/>
        <v>621976176</v>
      </c>
      <c r="J53" s="19">
        <f t="shared" si="12"/>
        <v>1850273435</v>
      </c>
      <c r="K53" s="20">
        <f t="shared" si="12"/>
        <v>576569796</v>
      </c>
      <c r="L53" s="19">
        <f t="shared" si="12"/>
        <v>3101272527</v>
      </c>
      <c r="M53" s="20">
        <f t="shared" si="12"/>
        <v>1221923017</v>
      </c>
      <c r="O53" s="23"/>
      <c r="P53" s="23"/>
    </row>
    <row r="54" spans="1:20" ht="15.75" customHeight="1" outlineLevel="1" x14ac:dyDescent="0.2">
      <c r="A54" s="16" t="s">
        <v>7</v>
      </c>
      <c r="B54" s="17">
        <v>314742741</v>
      </c>
      <c r="C54" s="18">
        <v>142162102</v>
      </c>
      <c r="D54" s="17">
        <v>884542297</v>
      </c>
      <c r="E54" s="18">
        <v>639183314</v>
      </c>
      <c r="F54" s="17">
        <v>524138790</v>
      </c>
      <c r="G54" s="18">
        <v>458608839</v>
      </c>
      <c r="H54" s="17">
        <v>154210195</v>
      </c>
      <c r="I54" s="18">
        <v>144009881</v>
      </c>
      <c r="J54" s="17">
        <v>566688828</v>
      </c>
      <c r="K54" s="18">
        <v>275950081</v>
      </c>
      <c r="L54" s="17">
        <v>685616294</v>
      </c>
      <c r="M54" s="18">
        <v>306096572</v>
      </c>
      <c r="O54" s="23"/>
      <c r="P54" s="23"/>
    </row>
    <row r="55" spans="1:20" ht="15.75" customHeight="1" outlineLevel="1" x14ac:dyDescent="0.2">
      <c r="A55" s="16" t="s">
        <v>12</v>
      </c>
      <c r="B55" s="17">
        <v>787213044</v>
      </c>
      <c r="C55" s="18">
        <v>180618529</v>
      </c>
      <c r="D55" s="17">
        <v>1071827631</v>
      </c>
      <c r="E55" s="18">
        <v>617233878</v>
      </c>
      <c r="F55" s="17">
        <v>826563078</v>
      </c>
      <c r="G55" s="18">
        <v>473908517</v>
      </c>
      <c r="H55" s="17">
        <v>228309912</v>
      </c>
      <c r="I55" s="18">
        <v>66409158</v>
      </c>
      <c r="J55" s="17">
        <v>746445844</v>
      </c>
      <c r="K55" s="18">
        <v>269369830</v>
      </c>
      <c r="L55" s="17">
        <v>1179454214</v>
      </c>
      <c r="M55" s="18">
        <v>565206532</v>
      </c>
      <c r="O55" s="23"/>
      <c r="P55" s="23"/>
    </row>
    <row r="56" spans="1:20" ht="15.75" customHeight="1" outlineLevel="1" x14ac:dyDescent="0.2">
      <c r="A56" s="16" t="s">
        <v>35</v>
      </c>
      <c r="B56" s="17">
        <v>372789341</v>
      </c>
      <c r="C56" s="18">
        <v>282621931</v>
      </c>
      <c r="D56" s="17">
        <v>411100366</v>
      </c>
      <c r="E56" s="18">
        <v>360540687</v>
      </c>
      <c r="F56" s="17">
        <v>141572850</v>
      </c>
      <c r="G56" s="18">
        <v>131752090</v>
      </c>
      <c r="H56" s="17">
        <v>462734743</v>
      </c>
      <c r="I56" s="18">
        <v>411557137</v>
      </c>
      <c r="J56" s="17">
        <v>536138763</v>
      </c>
      <c r="K56" s="18">
        <v>31249885</v>
      </c>
      <c r="L56" s="17">
        <v>1236202019</v>
      </c>
      <c r="M56" s="18">
        <v>350619913</v>
      </c>
      <c r="O56" s="23"/>
      <c r="P56" s="23"/>
      <c r="Q56" s="23"/>
      <c r="R56" s="23"/>
      <c r="S56" s="23"/>
      <c r="T56" s="23"/>
    </row>
    <row r="57" spans="1:20" ht="15.75" customHeight="1" outlineLevel="1" x14ac:dyDescent="0.2">
      <c r="A57" s="16" t="s">
        <v>36</v>
      </c>
      <c r="B57" s="17">
        <v>160370995</v>
      </c>
      <c r="C57" s="18">
        <v>0</v>
      </c>
      <c r="D57" s="17">
        <v>73056160</v>
      </c>
      <c r="E57" s="18">
        <v>0</v>
      </c>
      <c r="F57" s="17">
        <v>24787280</v>
      </c>
      <c r="G57" s="18">
        <v>0</v>
      </c>
      <c r="H57" s="17">
        <v>76787281</v>
      </c>
      <c r="I57" s="18">
        <v>0</v>
      </c>
      <c r="J57" s="17">
        <v>1000000</v>
      </c>
      <c r="K57" s="18">
        <v>0</v>
      </c>
      <c r="L57" s="17"/>
      <c r="M57" s="18"/>
      <c r="O57" s="23"/>
      <c r="P57" s="23"/>
      <c r="Q57" s="23"/>
      <c r="R57" s="23"/>
      <c r="S57" s="23"/>
      <c r="T57" s="23"/>
    </row>
    <row r="58" spans="1:20" ht="15.75" customHeight="1" outlineLevel="1" x14ac:dyDescent="0.2">
      <c r="A58" s="16" t="s">
        <v>15</v>
      </c>
      <c r="B58" s="17">
        <v>600000</v>
      </c>
      <c r="C58" s="18">
        <v>0</v>
      </c>
      <c r="D58" s="17">
        <v>600000</v>
      </c>
      <c r="E58" s="18">
        <v>0</v>
      </c>
      <c r="F58" s="17"/>
      <c r="G58" s="18"/>
      <c r="H58" s="17"/>
      <c r="I58" s="18"/>
      <c r="J58" s="17"/>
      <c r="K58" s="18"/>
      <c r="L58" s="17"/>
      <c r="M58" s="18"/>
      <c r="O58" s="23"/>
      <c r="P58" s="23"/>
      <c r="Q58" s="23"/>
      <c r="R58" s="23"/>
    </row>
    <row r="59" spans="1:20" ht="15.75" customHeight="1" x14ac:dyDescent="0.2">
      <c r="A59" s="13" t="s">
        <v>37</v>
      </c>
      <c r="B59" s="19">
        <f t="shared" ref="B59:G59" si="13">SUM(B60:B62)</f>
        <v>335860809</v>
      </c>
      <c r="C59" s="20">
        <f t="shared" si="13"/>
        <v>133650922</v>
      </c>
      <c r="D59" s="19">
        <f t="shared" si="13"/>
        <v>425500000</v>
      </c>
      <c r="E59" s="20">
        <f t="shared" si="13"/>
        <v>379436048</v>
      </c>
      <c r="F59" s="19">
        <f t="shared" si="13"/>
        <v>50000000</v>
      </c>
      <c r="G59" s="20">
        <f t="shared" si="13"/>
        <v>50000000</v>
      </c>
      <c r="H59" s="19"/>
      <c r="I59" s="20"/>
      <c r="J59" s="19"/>
      <c r="K59" s="20"/>
      <c r="L59" s="19"/>
      <c r="M59" s="20"/>
      <c r="O59" s="23"/>
      <c r="P59" s="23"/>
    </row>
    <row r="60" spans="1:20" ht="15.75" customHeight="1" outlineLevel="1" x14ac:dyDescent="0.2">
      <c r="A60" s="27" t="s">
        <v>12</v>
      </c>
      <c r="B60" s="17">
        <v>200000000</v>
      </c>
      <c r="C60" s="18">
        <v>0</v>
      </c>
      <c r="D60" s="17">
        <v>250500000</v>
      </c>
      <c r="E60" s="18">
        <v>250000000</v>
      </c>
      <c r="F60" s="17">
        <v>50000000</v>
      </c>
      <c r="G60" s="18">
        <v>50000000</v>
      </c>
      <c r="H60" s="17"/>
      <c r="I60" s="18"/>
      <c r="J60" s="17"/>
      <c r="K60" s="18"/>
      <c r="L60" s="17"/>
      <c r="M60" s="18"/>
      <c r="O60" s="23"/>
      <c r="P60" s="23"/>
    </row>
    <row r="61" spans="1:20" ht="15.75" customHeight="1" outlineLevel="1" x14ac:dyDescent="0.2">
      <c r="A61" s="27" t="s">
        <v>25</v>
      </c>
      <c r="B61" s="17">
        <v>1877480</v>
      </c>
      <c r="C61" s="18">
        <v>1877480</v>
      </c>
      <c r="D61" s="17"/>
      <c r="E61" s="18"/>
      <c r="F61" s="17"/>
      <c r="G61" s="18"/>
      <c r="H61" s="17"/>
      <c r="I61" s="18"/>
      <c r="J61" s="17"/>
      <c r="K61" s="18"/>
      <c r="L61" s="17"/>
      <c r="M61" s="18"/>
      <c r="O61" s="23"/>
      <c r="P61" s="23"/>
      <c r="Q61" s="23"/>
      <c r="R61" s="23"/>
    </row>
    <row r="62" spans="1:20" ht="15.75" customHeight="1" outlineLevel="1" x14ac:dyDescent="0.2">
      <c r="A62" s="27" t="s">
        <v>7</v>
      </c>
      <c r="B62" s="17">
        <v>133983329</v>
      </c>
      <c r="C62" s="18">
        <v>131773442</v>
      </c>
      <c r="D62" s="17">
        <v>175000000</v>
      </c>
      <c r="E62" s="18">
        <v>129436048</v>
      </c>
      <c r="F62" s="17"/>
      <c r="G62" s="18"/>
      <c r="H62" s="17"/>
      <c r="I62" s="18"/>
      <c r="J62" s="17"/>
      <c r="K62" s="18"/>
      <c r="L62" s="17"/>
      <c r="M62" s="18"/>
      <c r="O62" s="23"/>
      <c r="P62" s="23"/>
      <c r="Q62" s="23"/>
      <c r="R62" s="23"/>
    </row>
    <row r="63" spans="1:20" ht="15.75" customHeight="1" x14ac:dyDescent="0.2">
      <c r="A63" s="13" t="s">
        <v>38</v>
      </c>
      <c r="B63" s="19">
        <f t="shared" ref="B63:G63" si="14">SUM(B64:B66)</f>
        <v>123280753</v>
      </c>
      <c r="C63" s="20">
        <f t="shared" si="14"/>
        <v>104183589</v>
      </c>
      <c r="D63" s="19">
        <f t="shared" si="14"/>
        <v>109755264</v>
      </c>
      <c r="E63" s="20">
        <f t="shared" si="14"/>
        <v>109186854</v>
      </c>
      <c r="F63" s="19">
        <f t="shared" si="14"/>
        <v>128933205</v>
      </c>
      <c r="G63" s="20">
        <f t="shared" si="14"/>
        <v>124463064</v>
      </c>
      <c r="H63" s="19"/>
      <c r="I63" s="20"/>
      <c r="J63" s="19"/>
      <c r="K63" s="20"/>
      <c r="L63" s="19"/>
      <c r="M63" s="20"/>
      <c r="O63" s="23"/>
      <c r="P63" s="23"/>
      <c r="Q63" s="23"/>
      <c r="R63" s="23"/>
    </row>
    <row r="64" spans="1:20" ht="15.75" customHeight="1" outlineLevel="1" x14ac:dyDescent="0.2">
      <c r="A64" s="28" t="s">
        <v>7</v>
      </c>
      <c r="B64" s="24">
        <v>69965156</v>
      </c>
      <c r="C64" s="25">
        <v>52792400</v>
      </c>
      <c r="D64" s="24">
        <v>97825239</v>
      </c>
      <c r="E64" s="25">
        <v>97402111</v>
      </c>
      <c r="F64" s="24">
        <v>98136256</v>
      </c>
      <c r="G64" s="25">
        <v>95104922</v>
      </c>
      <c r="H64" s="24"/>
      <c r="I64" s="25"/>
      <c r="J64" s="24"/>
      <c r="K64" s="25"/>
      <c r="L64" s="24"/>
      <c r="M64" s="25"/>
      <c r="O64" s="23"/>
      <c r="P64" s="23"/>
      <c r="Q64" s="23"/>
      <c r="R64" s="23"/>
      <c r="S64" s="23"/>
    </row>
    <row r="65" spans="1:19" ht="15.75" customHeight="1" outlineLevel="1" x14ac:dyDescent="0.2">
      <c r="A65" s="28" t="s">
        <v>12</v>
      </c>
      <c r="B65" s="24">
        <v>33315597</v>
      </c>
      <c r="C65" s="25">
        <v>31391189</v>
      </c>
      <c r="D65" s="24">
        <v>11930025</v>
      </c>
      <c r="E65" s="25">
        <v>11784743</v>
      </c>
      <c r="F65" s="24">
        <v>30796949</v>
      </c>
      <c r="G65" s="25">
        <v>29358142</v>
      </c>
      <c r="H65" s="24"/>
      <c r="I65" s="25"/>
      <c r="J65" s="24"/>
      <c r="K65" s="25"/>
      <c r="L65" s="24"/>
      <c r="M65" s="25"/>
      <c r="O65" s="23"/>
      <c r="P65" s="23"/>
      <c r="Q65" s="23"/>
      <c r="R65" s="23"/>
      <c r="S65" s="23"/>
    </row>
    <row r="66" spans="1:19" ht="15.75" customHeight="1" outlineLevel="1" x14ac:dyDescent="0.2">
      <c r="A66" s="28" t="s">
        <v>16</v>
      </c>
      <c r="B66" s="24">
        <v>20000000</v>
      </c>
      <c r="C66" s="25">
        <v>20000000</v>
      </c>
      <c r="D66" s="24"/>
      <c r="E66" s="25"/>
      <c r="F66" s="24"/>
      <c r="G66" s="25"/>
      <c r="H66" s="24"/>
      <c r="I66" s="25"/>
      <c r="J66" s="24"/>
      <c r="K66" s="25"/>
      <c r="L66" s="24"/>
      <c r="M66" s="25"/>
      <c r="O66" s="23"/>
      <c r="P66" s="23"/>
      <c r="Q66" s="23"/>
      <c r="R66" s="23"/>
      <c r="S66" s="23"/>
    </row>
    <row r="67" spans="1:19" ht="15.75" customHeight="1" x14ac:dyDescent="0.2">
      <c r="A67" s="13" t="s">
        <v>39</v>
      </c>
      <c r="B67" s="19"/>
      <c r="C67" s="20"/>
      <c r="D67" s="19">
        <f>SUM(D68:D70)</f>
        <v>1750000000</v>
      </c>
      <c r="E67" s="20">
        <f>SUM(E68:E70)</f>
        <v>0</v>
      </c>
      <c r="F67" s="19">
        <f>SUM(F68:F70)</f>
        <v>1750000000</v>
      </c>
      <c r="G67" s="20">
        <f>SUM(G68:G70)</f>
        <v>1733761266</v>
      </c>
      <c r="H67" s="19"/>
      <c r="I67" s="20"/>
      <c r="J67" s="19"/>
      <c r="K67" s="20"/>
      <c r="L67" s="19"/>
      <c r="M67" s="20"/>
      <c r="O67" s="23"/>
      <c r="P67" s="23"/>
      <c r="Q67" s="23"/>
      <c r="R67" s="23"/>
    </row>
    <row r="68" spans="1:19" ht="15.75" customHeight="1" outlineLevel="1" x14ac:dyDescent="0.2">
      <c r="A68" s="28" t="s">
        <v>12</v>
      </c>
      <c r="B68" s="17"/>
      <c r="C68" s="18"/>
      <c r="D68" s="17">
        <v>1731791386</v>
      </c>
      <c r="E68" s="18">
        <v>0</v>
      </c>
      <c r="F68" s="17">
        <v>1731791386</v>
      </c>
      <c r="G68" s="18">
        <v>1731544986</v>
      </c>
      <c r="H68" s="17"/>
      <c r="I68" s="18"/>
      <c r="J68" s="17"/>
      <c r="K68" s="18"/>
      <c r="L68" s="17"/>
      <c r="M68" s="18"/>
      <c r="O68" s="23"/>
      <c r="P68" s="23"/>
      <c r="Q68" s="23"/>
      <c r="R68" s="23"/>
    </row>
    <row r="69" spans="1:19" ht="15.75" customHeight="1" outlineLevel="1" x14ac:dyDescent="0.2">
      <c r="A69" s="28" t="s">
        <v>15</v>
      </c>
      <c r="B69" s="17"/>
      <c r="C69" s="18"/>
      <c r="D69" s="17">
        <v>18208614</v>
      </c>
      <c r="E69" s="18">
        <v>0</v>
      </c>
      <c r="F69" s="17">
        <v>15992334</v>
      </c>
      <c r="G69" s="18">
        <v>0</v>
      </c>
      <c r="H69" s="17"/>
      <c r="I69" s="18"/>
      <c r="J69" s="17"/>
      <c r="K69" s="18"/>
      <c r="L69" s="17"/>
      <c r="M69" s="18"/>
      <c r="O69" s="23"/>
      <c r="P69" s="23"/>
      <c r="Q69" s="23"/>
      <c r="R69" s="23"/>
    </row>
    <row r="70" spans="1:19" ht="15.75" customHeight="1" outlineLevel="1" x14ac:dyDescent="0.2">
      <c r="A70" s="28" t="s">
        <v>7</v>
      </c>
      <c r="B70" s="17"/>
      <c r="C70" s="18"/>
      <c r="D70" s="17"/>
      <c r="E70" s="18"/>
      <c r="F70" s="17">
        <v>2216280</v>
      </c>
      <c r="G70" s="18">
        <v>2216280</v>
      </c>
      <c r="H70" s="17"/>
      <c r="I70" s="18"/>
      <c r="J70" s="17"/>
      <c r="K70" s="18"/>
      <c r="L70" s="17"/>
      <c r="M70" s="18"/>
      <c r="O70" s="23"/>
      <c r="P70" s="23"/>
      <c r="Q70" s="23"/>
      <c r="R70" s="23"/>
    </row>
    <row r="71" spans="1:19" ht="15.75" customHeight="1" x14ac:dyDescent="0.2">
      <c r="A71" s="13" t="s">
        <v>40</v>
      </c>
      <c r="B71" s="19"/>
      <c r="C71" s="20"/>
      <c r="D71" s="19"/>
      <c r="E71" s="20"/>
      <c r="F71" s="19"/>
      <c r="G71" s="20"/>
      <c r="H71" s="19"/>
      <c r="I71" s="20"/>
      <c r="J71" s="19">
        <f>SUM(J72:J73)</f>
        <v>230294815</v>
      </c>
      <c r="K71" s="20">
        <f>SUM(K72:K73)</f>
        <v>230294815</v>
      </c>
      <c r="L71" s="19">
        <f>SUM(L72:L73)</f>
        <v>316033333</v>
      </c>
      <c r="M71" s="20">
        <f>SUM(M72:M73)</f>
        <v>315378970</v>
      </c>
      <c r="O71" s="23"/>
      <c r="P71" s="23"/>
      <c r="Q71" s="23"/>
      <c r="R71" s="23"/>
    </row>
    <row r="72" spans="1:19" ht="15.75" customHeight="1" outlineLevel="1" x14ac:dyDescent="0.2">
      <c r="A72" s="28" t="s">
        <v>7</v>
      </c>
      <c r="B72" s="19" t="s">
        <v>41</v>
      </c>
      <c r="C72" s="20"/>
      <c r="D72" s="19"/>
      <c r="E72" s="20"/>
      <c r="F72" s="19"/>
      <c r="G72" s="20"/>
      <c r="H72" s="19"/>
      <c r="I72" s="20"/>
      <c r="J72" s="19">
        <v>79622455</v>
      </c>
      <c r="K72" s="20">
        <v>79622455</v>
      </c>
      <c r="L72" s="19">
        <v>101369206</v>
      </c>
      <c r="M72" s="20">
        <v>101369206</v>
      </c>
      <c r="O72" s="23"/>
      <c r="P72" s="23"/>
      <c r="Q72" s="23"/>
      <c r="R72" s="23"/>
    </row>
    <row r="73" spans="1:19" ht="15.75" customHeight="1" outlineLevel="1" x14ac:dyDescent="0.2">
      <c r="A73" s="28" t="s">
        <v>12</v>
      </c>
      <c r="B73" s="19"/>
      <c r="C73" s="20"/>
      <c r="D73" s="19"/>
      <c r="E73" s="20"/>
      <c r="F73" s="19"/>
      <c r="G73" s="20"/>
      <c r="H73" s="19"/>
      <c r="I73" s="20"/>
      <c r="J73" s="19">
        <v>150672360</v>
      </c>
      <c r="K73" s="20">
        <v>150672360</v>
      </c>
      <c r="L73" s="19">
        <v>214664127</v>
      </c>
      <c r="M73" s="20">
        <v>214009764</v>
      </c>
      <c r="O73" s="23"/>
      <c r="P73" s="23"/>
      <c r="Q73" s="23"/>
      <c r="R73" s="23"/>
    </row>
    <row r="74" spans="1:19" ht="15.75" customHeight="1" x14ac:dyDescent="0.2">
      <c r="A74" s="6" t="s">
        <v>42</v>
      </c>
      <c r="B74" s="29">
        <f t="shared" ref="B74:M74" si="15">+B75+B86+B94</f>
        <v>19729233914</v>
      </c>
      <c r="C74" s="30">
        <f t="shared" si="15"/>
        <v>16350894261</v>
      </c>
      <c r="D74" s="29">
        <f t="shared" si="15"/>
        <v>23833200758</v>
      </c>
      <c r="E74" s="30">
        <f t="shared" si="15"/>
        <v>17421109956</v>
      </c>
      <c r="F74" s="29">
        <f t="shared" si="15"/>
        <v>24781615182</v>
      </c>
      <c r="G74" s="30">
        <f t="shared" si="15"/>
        <v>17375523443</v>
      </c>
      <c r="H74" s="29">
        <f t="shared" si="15"/>
        <v>23805419769</v>
      </c>
      <c r="I74" s="30">
        <f t="shared" si="15"/>
        <v>17788698575</v>
      </c>
      <c r="J74" s="29">
        <f t="shared" si="15"/>
        <v>24495420645</v>
      </c>
      <c r="K74" s="30">
        <f t="shared" si="15"/>
        <v>13789686030</v>
      </c>
      <c r="L74" s="29">
        <f t="shared" si="15"/>
        <v>29917364707</v>
      </c>
      <c r="M74" s="30">
        <f t="shared" si="15"/>
        <v>20051395404</v>
      </c>
      <c r="O74" s="23"/>
      <c r="P74" s="23"/>
      <c r="Q74" s="23"/>
      <c r="R74" s="23"/>
    </row>
    <row r="75" spans="1:19" ht="15.75" customHeight="1" x14ac:dyDescent="0.2">
      <c r="A75" s="31" t="s">
        <v>43</v>
      </c>
      <c r="B75" s="14">
        <f t="shared" ref="B75:M75" si="16">SUM(B76:B85)</f>
        <v>5696820965</v>
      </c>
      <c r="C75" s="15">
        <f t="shared" si="16"/>
        <v>5299954054</v>
      </c>
      <c r="D75" s="14">
        <f t="shared" si="16"/>
        <v>6408878752</v>
      </c>
      <c r="E75" s="15">
        <f t="shared" si="16"/>
        <v>5348937320</v>
      </c>
      <c r="F75" s="14">
        <f t="shared" si="16"/>
        <v>6118764735</v>
      </c>
      <c r="G75" s="15">
        <f t="shared" si="16"/>
        <v>4764907285</v>
      </c>
      <c r="H75" s="14">
        <f t="shared" si="16"/>
        <v>5839956790</v>
      </c>
      <c r="I75" s="15">
        <f t="shared" si="16"/>
        <v>4693949023</v>
      </c>
      <c r="J75" s="14">
        <f t="shared" si="16"/>
        <v>4942714574</v>
      </c>
      <c r="K75" s="15">
        <f t="shared" si="16"/>
        <v>2638768470</v>
      </c>
      <c r="L75" s="14">
        <f t="shared" si="16"/>
        <v>5300198333</v>
      </c>
      <c r="M75" s="15">
        <f t="shared" si="16"/>
        <v>3578144390</v>
      </c>
      <c r="O75" s="23"/>
      <c r="P75" s="23"/>
      <c r="Q75" s="23"/>
      <c r="R75" s="23"/>
    </row>
    <row r="76" spans="1:19" ht="15.75" customHeight="1" outlineLevel="1" x14ac:dyDescent="0.2">
      <c r="A76" s="16" t="s">
        <v>44</v>
      </c>
      <c r="B76" s="17">
        <v>109062444</v>
      </c>
      <c r="C76" s="18">
        <v>109009622</v>
      </c>
      <c r="D76" s="17">
        <v>125241035</v>
      </c>
      <c r="E76" s="18">
        <v>124515870</v>
      </c>
      <c r="F76" s="17">
        <v>146437060</v>
      </c>
      <c r="G76" s="18">
        <v>131735285</v>
      </c>
      <c r="H76" s="17">
        <v>148287072</v>
      </c>
      <c r="I76" s="18">
        <v>142642594</v>
      </c>
      <c r="J76" s="17">
        <v>153885323</v>
      </c>
      <c r="K76" s="18">
        <v>151080573</v>
      </c>
      <c r="L76" s="17">
        <v>174594308</v>
      </c>
      <c r="M76" s="18">
        <v>151139188</v>
      </c>
      <c r="O76" s="23"/>
      <c r="P76" s="23"/>
      <c r="Q76" s="23"/>
      <c r="R76" s="23"/>
    </row>
    <row r="77" spans="1:19" ht="15.75" customHeight="1" outlineLevel="1" x14ac:dyDescent="0.2">
      <c r="A77" s="16" t="s">
        <v>45</v>
      </c>
      <c r="B77" s="17">
        <v>2435164485</v>
      </c>
      <c r="C77" s="18">
        <v>2353047386</v>
      </c>
      <c r="D77" s="17">
        <v>2232466521</v>
      </c>
      <c r="E77" s="18">
        <v>2074434419</v>
      </c>
      <c r="F77" s="17">
        <v>2180320432</v>
      </c>
      <c r="G77" s="18">
        <v>1933106880</v>
      </c>
      <c r="H77" s="17">
        <v>1756714922</v>
      </c>
      <c r="I77" s="18">
        <v>1604351185</v>
      </c>
      <c r="J77" s="17">
        <v>1968998920</v>
      </c>
      <c r="K77" s="18">
        <v>1576513021</v>
      </c>
      <c r="L77" s="17">
        <v>2148993833</v>
      </c>
      <c r="M77" s="18">
        <v>1822045512</v>
      </c>
      <c r="O77" s="23"/>
      <c r="P77" s="23"/>
      <c r="Q77" s="23"/>
      <c r="R77" s="23"/>
    </row>
    <row r="78" spans="1:19" ht="15.75" customHeight="1" outlineLevel="1" x14ac:dyDescent="0.2">
      <c r="A78" s="16" t="s">
        <v>46</v>
      </c>
      <c r="B78" s="17">
        <v>975930727</v>
      </c>
      <c r="C78" s="18">
        <v>882227644</v>
      </c>
      <c r="D78" s="17">
        <v>1096518542</v>
      </c>
      <c r="E78" s="18">
        <v>963536321</v>
      </c>
      <c r="F78" s="17">
        <v>849359576</v>
      </c>
      <c r="G78" s="18">
        <v>564197663</v>
      </c>
      <c r="H78" s="17">
        <v>766893781</v>
      </c>
      <c r="I78" s="18">
        <v>498526702</v>
      </c>
      <c r="J78" s="17">
        <v>791939750</v>
      </c>
      <c r="K78" s="18">
        <v>237574521</v>
      </c>
      <c r="L78" s="17">
        <v>893130342</v>
      </c>
      <c r="M78" s="18">
        <v>615188103</v>
      </c>
      <c r="O78" s="23"/>
      <c r="P78" s="23"/>
      <c r="Q78" s="23"/>
      <c r="R78" s="23"/>
    </row>
    <row r="79" spans="1:19" ht="15.75" customHeight="1" outlineLevel="1" x14ac:dyDescent="0.2">
      <c r="A79" s="16" t="s">
        <v>47</v>
      </c>
      <c r="B79" s="17">
        <v>1801292744</v>
      </c>
      <c r="C79" s="18">
        <v>1712142552</v>
      </c>
      <c r="D79" s="17">
        <v>2003217059</v>
      </c>
      <c r="E79" s="18">
        <v>1512197870</v>
      </c>
      <c r="F79" s="17">
        <v>2044351804</v>
      </c>
      <c r="G79" s="18">
        <v>1538476567</v>
      </c>
      <c r="H79" s="17">
        <v>2047274988</v>
      </c>
      <c r="I79" s="18">
        <v>1694961956</v>
      </c>
      <c r="J79" s="17">
        <v>719368133</v>
      </c>
      <c r="K79" s="18">
        <v>301956728</v>
      </c>
      <c r="L79" s="17">
        <v>615768633</v>
      </c>
      <c r="M79" s="18">
        <v>393153879</v>
      </c>
      <c r="O79" s="23"/>
      <c r="P79" s="23"/>
      <c r="Q79" s="23"/>
      <c r="R79" s="23"/>
    </row>
    <row r="80" spans="1:19" ht="15.75" customHeight="1" outlineLevel="1" x14ac:dyDescent="0.2">
      <c r="A80" s="16" t="s">
        <v>48</v>
      </c>
      <c r="B80" s="17">
        <v>1072634</v>
      </c>
      <c r="C80" s="18">
        <v>811514</v>
      </c>
      <c r="D80" s="17">
        <v>1128049</v>
      </c>
      <c r="E80" s="18">
        <v>657028</v>
      </c>
      <c r="F80" s="17">
        <v>5527304</v>
      </c>
      <c r="G80" s="18">
        <v>4719150</v>
      </c>
      <c r="H80" s="17">
        <v>1807536</v>
      </c>
      <c r="I80" s="18">
        <v>1638433</v>
      </c>
      <c r="J80" s="17">
        <v>2640303</v>
      </c>
      <c r="K80" s="18">
        <v>2631939</v>
      </c>
      <c r="L80" s="17">
        <v>4243254</v>
      </c>
      <c r="M80" s="18">
        <v>1287616</v>
      </c>
      <c r="O80" s="23"/>
      <c r="P80" s="23"/>
      <c r="Q80" s="23"/>
      <c r="R80" s="23"/>
    </row>
    <row r="81" spans="1:18" ht="15.75" customHeight="1" outlineLevel="1" x14ac:dyDescent="0.2">
      <c r="A81" s="16" t="s">
        <v>49</v>
      </c>
      <c r="B81" s="17">
        <v>185194560</v>
      </c>
      <c r="C81" s="18">
        <v>144377597</v>
      </c>
      <c r="D81" s="17">
        <v>223536758</v>
      </c>
      <c r="E81" s="18">
        <v>216036758</v>
      </c>
      <c r="F81" s="17">
        <v>176510889</v>
      </c>
      <c r="G81" s="18">
        <v>167746305</v>
      </c>
      <c r="H81" s="17">
        <v>523990212</v>
      </c>
      <c r="I81" s="18">
        <v>516787896</v>
      </c>
      <c r="J81" s="17">
        <v>640978306</v>
      </c>
      <c r="K81" s="18">
        <v>199838082</v>
      </c>
      <c r="L81" s="17">
        <v>562469572</v>
      </c>
      <c r="M81" s="18">
        <v>423665885</v>
      </c>
      <c r="O81" s="23"/>
      <c r="P81" s="23"/>
      <c r="Q81" s="23"/>
      <c r="R81" s="23"/>
    </row>
    <row r="82" spans="1:18" ht="15.75" customHeight="1" outlineLevel="1" x14ac:dyDescent="0.2">
      <c r="A82" s="16" t="s">
        <v>50</v>
      </c>
      <c r="B82" s="17">
        <v>105225575</v>
      </c>
      <c r="C82" s="18">
        <v>95794273</v>
      </c>
      <c r="D82" s="17">
        <v>433999862</v>
      </c>
      <c r="E82" s="18">
        <v>416294654</v>
      </c>
      <c r="F82" s="17">
        <v>484827732</v>
      </c>
      <c r="G82" s="18">
        <v>339252564</v>
      </c>
      <c r="H82" s="17">
        <v>234808014</v>
      </c>
      <c r="I82" s="18">
        <v>232470017</v>
      </c>
      <c r="J82" s="17">
        <v>341517675</v>
      </c>
      <c r="K82" s="18">
        <v>169173606</v>
      </c>
      <c r="L82" s="17">
        <v>340837320</v>
      </c>
      <c r="M82" s="18">
        <v>163624207</v>
      </c>
      <c r="O82" s="23"/>
      <c r="P82" s="23"/>
      <c r="Q82" s="23"/>
      <c r="R82" s="23"/>
    </row>
    <row r="83" spans="1:18" ht="15.75" customHeight="1" outlineLevel="1" x14ac:dyDescent="0.2">
      <c r="A83" s="16" t="s">
        <v>51</v>
      </c>
      <c r="B83" s="17">
        <v>3640504</v>
      </c>
      <c r="C83" s="18">
        <v>2543466</v>
      </c>
      <c r="D83" s="17"/>
      <c r="E83" s="18"/>
      <c r="F83" s="17">
        <v>1158034</v>
      </c>
      <c r="G83" s="18">
        <v>1158034</v>
      </c>
      <c r="H83" s="17">
        <v>2570240</v>
      </c>
      <c r="I83" s="18">
        <v>2570240</v>
      </c>
      <c r="J83" s="17"/>
      <c r="K83" s="18"/>
      <c r="L83" s="17">
        <v>2020064</v>
      </c>
      <c r="M83" s="18">
        <v>2016000</v>
      </c>
      <c r="O83" s="23"/>
      <c r="P83" s="23"/>
      <c r="Q83" s="23"/>
      <c r="R83" s="23"/>
    </row>
    <row r="84" spans="1:18" ht="15.75" customHeight="1" outlineLevel="1" x14ac:dyDescent="0.2">
      <c r="A84" s="16" t="s">
        <v>52</v>
      </c>
      <c r="B84" s="17">
        <v>80237292</v>
      </c>
      <c r="C84" s="18">
        <v>0</v>
      </c>
      <c r="D84" s="17">
        <v>251506526</v>
      </c>
      <c r="E84" s="18">
        <v>0</v>
      </c>
      <c r="F84" s="17">
        <v>145757067</v>
      </c>
      <c r="G84" s="18">
        <v>0</v>
      </c>
      <c r="H84" s="17">
        <v>357610025</v>
      </c>
      <c r="I84" s="18">
        <v>0</v>
      </c>
      <c r="J84" s="17">
        <v>323386164</v>
      </c>
      <c r="K84" s="18">
        <v>0</v>
      </c>
      <c r="L84" s="17">
        <v>552117007</v>
      </c>
      <c r="M84" s="18">
        <v>0</v>
      </c>
      <c r="O84" s="23"/>
      <c r="P84" s="23"/>
      <c r="Q84" s="23"/>
      <c r="R84" s="23"/>
    </row>
    <row r="85" spans="1:18" ht="15.75" customHeight="1" outlineLevel="1" x14ac:dyDescent="0.2">
      <c r="A85" s="16" t="s">
        <v>53</v>
      </c>
      <c r="B85" s="17"/>
      <c r="C85" s="18"/>
      <c r="D85" s="17">
        <v>41264400</v>
      </c>
      <c r="E85" s="18">
        <v>41264400</v>
      </c>
      <c r="F85" s="17">
        <v>84514837</v>
      </c>
      <c r="G85" s="18">
        <v>84514837</v>
      </c>
      <c r="H85" s="17"/>
      <c r="I85" s="18"/>
      <c r="J85" s="17"/>
      <c r="K85" s="18"/>
      <c r="L85" s="17">
        <v>6024000</v>
      </c>
      <c r="M85" s="18">
        <v>6024000</v>
      </c>
      <c r="O85" s="23"/>
      <c r="P85" s="23"/>
      <c r="Q85" s="23"/>
      <c r="R85" s="23"/>
    </row>
    <row r="86" spans="1:18" ht="15.75" customHeight="1" x14ac:dyDescent="0.2">
      <c r="A86" s="13" t="s">
        <v>54</v>
      </c>
      <c r="B86" s="19">
        <f t="shared" ref="B86:M86" si="17">SUM(B87:B93)</f>
        <v>9488239861</v>
      </c>
      <c r="C86" s="20">
        <f t="shared" si="17"/>
        <v>7587244371</v>
      </c>
      <c r="D86" s="19">
        <f t="shared" si="17"/>
        <v>11356155392</v>
      </c>
      <c r="E86" s="20">
        <f t="shared" si="17"/>
        <v>8507093972</v>
      </c>
      <c r="F86" s="19">
        <f t="shared" si="17"/>
        <v>12168190515</v>
      </c>
      <c r="G86" s="20">
        <f t="shared" si="17"/>
        <v>8915472785</v>
      </c>
      <c r="H86" s="19">
        <f t="shared" si="17"/>
        <v>10615043115</v>
      </c>
      <c r="I86" s="20">
        <f t="shared" si="17"/>
        <v>8677819331</v>
      </c>
      <c r="J86" s="19">
        <f t="shared" si="17"/>
        <v>12387446367</v>
      </c>
      <c r="K86" s="20">
        <f t="shared" si="17"/>
        <v>7847483877</v>
      </c>
      <c r="L86" s="19">
        <f t="shared" si="17"/>
        <v>16299400517</v>
      </c>
      <c r="M86" s="20">
        <f t="shared" si="17"/>
        <v>12225181065</v>
      </c>
      <c r="O86" s="23"/>
      <c r="P86" s="23"/>
      <c r="Q86" s="23"/>
      <c r="R86" s="23"/>
    </row>
    <row r="87" spans="1:18" ht="15.75" customHeight="1" outlineLevel="1" x14ac:dyDescent="0.2">
      <c r="A87" s="16" t="s">
        <v>55</v>
      </c>
      <c r="B87" s="17">
        <v>3496701547</v>
      </c>
      <c r="C87" s="18">
        <v>3035340429</v>
      </c>
      <c r="D87" s="17">
        <v>4539706580</v>
      </c>
      <c r="E87" s="18">
        <v>4112639124</v>
      </c>
      <c r="F87" s="17">
        <v>5199151075</v>
      </c>
      <c r="G87" s="18">
        <v>4495524143</v>
      </c>
      <c r="H87" s="17">
        <v>5476126678</v>
      </c>
      <c r="I87" s="18">
        <v>5162801069</v>
      </c>
      <c r="J87" s="17">
        <v>5981148627</v>
      </c>
      <c r="K87" s="18">
        <v>4612797739</v>
      </c>
      <c r="L87" s="17">
        <v>9293294607</v>
      </c>
      <c r="M87" s="18">
        <v>8441264252</v>
      </c>
      <c r="O87" s="23"/>
      <c r="P87" s="23"/>
      <c r="Q87" s="23"/>
      <c r="R87" s="23"/>
    </row>
    <row r="88" spans="1:18" ht="15.75" customHeight="1" outlineLevel="1" x14ac:dyDescent="0.2">
      <c r="A88" s="16" t="s">
        <v>56</v>
      </c>
      <c r="B88" s="17">
        <v>150570294</v>
      </c>
      <c r="C88" s="18">
        <v>118122514</v>
      </c>
      <c r="D88" s="17">
        <v>275618586</v>
      </c>
      <c r="E88" s="18">
        <v>229991592</v>
      </c>
      <c r="F88" s="17">
        <v>393929806</v>
      </c>
      <c r="G88" s="18">
        <v>230350558</v>
      </c>
      <c r="H88" s="17">
        <v>158136265</v>
      </c>
      <c r="I88" s="18">
        <v>139933985</v>
      </c>
      <c r="J88" s="17">
        <v>128698392</v>
      </c>
      <c r="K88" s="18">
        <v>28434609</v>
      </c>
      <c r="L88" s="17">
        <v>179632957</v>
      </c>
      <c r="M88" s="18">
        <v>124058018</v>
      </c>
      <c r="O88" s="23"/>
    </row>
    <row r="89" spans="1:18" ht="15.75" customHeight="1" outlineLevel="1" x14ac:dyDescent="0.2">
      <c r="A89" s="16" t="s">
        <v>57</v>
      </c>
      <c r="B89" s="17">
        <v>431924067</v>
      </c>
      <c r="C89" s="18">
        <v>268341341</v>
      </c>
      <c r="D89" s="17">
        <v>603057473</v>
      </c>
      <c r="E89" s="18">
        <v>398320730</v>
      </c>
      <c r="F89" s="17">
        <v>1015736857</v>
      </c>
      <c r="G89" s="18">
        <v>756291605</v>
      </c>
      <c r="H89" s="17">
        <v>673457469</v>
      </c>
      <c r="I89" s="18">
        <v>475361275</v>
      </c>
      <c r="J89" s="17">
        <v>362131007</v>
      </c>
      <c r="K89" s="18">
        <v>54756138</v>
      </c>
      <c r="L89" s="17">
        <v>302533122</v>
      </c>
      <c r="M89" s="18">
        <v>134872498</v>
      </c>
      <c r="O89" s="23"/>
    </row>
    <row r="90" spans="1:18" ht="15.75" customHeight="1" outlineLevel="1" x14ac:dyDescent="0.2">
      <c r="A90" s="16" t="s">
        <v>58</v>
      </c>
      <c r="B90" s="17">
        <v>3787050</v>
      </c>
      <c r="C90" s="18">
        <v>621535</v>
      </c>
      <c r="D90" s="17">
        <v>4286358</v>
      </c>
      <c r="E90" s="18">
        <v>963141</v>
      </c>
      <c r="F90" s="17">
        <v>128188027</v>
      </c>
      <c r="G90" s="18">
        <v>79775223</v>
      </c>
      <c r="H90" s="17">
        <v>63494867</v>
      </c>
      <c r="I90" s="18">
        <v>44619944</v>
      </c>
      <c r="J90" s="17">
        <v>43451767</v>
      </c>
      <c r="K90" s="18">
        <v>176675</v>
      </c>
      <c r="L90" s="17">
        <v>111868905</v>
      </c>
      <c r="M90" s="18">
        <v>44513467</v>
      </c>
      <c r="O90" s="23"/>
    </row>
    <row r="91" spans="1:18" ht="15.75" customHeight="1" outlineLevel="1" x14ac:dyDescent="0.2">
      <c r="A91" s="16" t="s">
        <v>59</v>
      </c>
      <c r="B91" s="17">
        <v>5025630429</v>
      </c>
      <c r="C91" s="18">
        <v>4164818552</v>
      </c>
      <c r="D91" s="17">
        <v>4974585342</v>
      </c>
      <c r="E91" s="18">
        <v>3744055643</v>
      </c>
      <c r="F91" s="17">
        <v>4541351279</v>
      </c>
      <c r="G91" s="18">
        <v>3353531256</v>
      </c>
      <c r="H91" s="17">
        <v>3862038005</v>
      </c>
      <c r="I91" s="18">
        <v>2839752925</v>
      </c>
      <c r="J91" s="17">
        <v>4640306312</v>
      </c>
      <c r="K91" s="18">
        <v>3106574228</v>
      </c>
      <c r="L91" s="17">
        <v>4980832578</v>
      </c>
      <c r="M91" s="18">
        <v>3327709065</v>
      </c>
      <c r="O91" s="23"/>
    </row>
    <row r="92" spans="1:18" ht="15.75" customHeight="1" outlineLevel="1" x14ac:dyDescent="0.2">
      <c r="A92" s="16" t="s">
        <v>60</v>
      </c>
      <c r="B92" s="17">
        <v>17046762</v>
      </c>
      <c r="C92" s="18">
        <v>0</v>
      </c>
      <c r="D92" s="17">
        <v>21123742</v>
      </c>
      <c r="E92" s="18">
        <v>21123742</v>
      </c>
      <c r="F92" s="17"/>
      <c r="G92" s="18"/>
      <c r="H92" s="17">
        <v>15350133</v>
      </c>
      <c r="I92" s="18">
        <v>15350133</v>
      </c>
      <c r="J92" s="17">
        <v>44744488</v>
      </c>
      <c r="K92" s="18">
        <v>44744488</v>
      </c>
      <c r="L92" s="17">
        <v>152763765</v>
      </c>
      <c r="M92" s="18">
        <v>152763765</v>
      </c>
      <c r="O92" s="23"/>
    </row>
    <row r="93" spans="1:18" ht="15.75" customHeight="1" outlineLevel="1" x14ac:dyDescent="0.2">
      <c r="A93" s="16" t="s">
        <v>61</v>
      </c>
      <c r="B93" s="24">
        <v>362579712</v>
      </c>
      <c r="C93" s="25">
        <v>0</v>
      </c>
      <c r="D93" s="24">
        <v>937777311</v>
      </c>
      <c r="E93" s="25">
        <v>0</v>
      </c>
      <c r="F93" s="24">
        <v>889833471</v>
      </c>
      <c r="G93" s="25">
        <v>0</v>
      </c>
      <c r="H93" s="24">
        <v>366439698</v>
      </c>
      <c r="I93" s="25">
        <v>0</v>
      </c>
      <c r="J93" s="24">
        <v>1186965774</v>
      </c>
      <c r="K93" s="25">
        <v>0</v>
      </c>
      <c r="L93" s="24">
        <v>1278474583</v>
      </c>
      <c r="M93" s="25">
        <v>0</v>
      </c>
      <c r="O93" s="23"/>
      <c r="R93" s="23"/>
    </row>
    <row r="94" spans="1:18" ht="15.75" customHeight="1" x14ac:dyDescent="0.2">
      <c r="A94" s="13" t="s">
        <v>62</v>
      </c>
      <c r="B94" s="19">
        <f t="shared" ref="B94:M94" si="18">SUM(B95:B101)</f>
        <v>4544173088</v>
      </c>
      <c r="C94" s="20">
        <f t="shared" si="18"/>
        <v>3463695836</v>
      </c>
      <c r="D94" s="19">
        <f t="shared" si="18"/>
        <v>6068166614</v>
      </c>
      <c r="E94" s="20">
        <f t="shared" si="18"/>
        <v>3565078664</v>
      </c>
      <c r="F94" s="19">
        <f t="shared" si="18"/>
        <v>6494659932</v>
      </c>
      <c r="G94" s="20">
        <f t="shared" si="18"/>
        <v>3695143373</v>
      </c>
      <c r="H94" s="19">
        <f t="shared" si="18"/>
        <v>7350419864</v>
      </c>
      <c r="I94" s="20">
        <f t="shared" si="18"/>
        <v>4416930221</v>
      </c>
      <c r="J94" s="19">
        <f t="shared" si="18"/>
        <v>7165259704</v>
      </c>
      <c r="K94" s="20">
        <f t="shared" si="18"/>
        <v>3303433683</v>
      </c>
      <c r="L94" s="19">
        <f t="shared" si="18"/>
        <v>8317765857</v>
      </c>
      <c r="M94" s="20">
        <f t="shared" si="18"/>
        <v>4248069949</v>
      </c>
      <c r="O94" s="23"/>
      <c r="P94" s="23"/>
      <c r="Q94" s="23"/>
      <c r="R94" s="23"/>
    </row>
    <row r="95" spans="1:18" ht="15.75" customHeight="1" outlineLevel="1" x14ac:dyDescent="0.2">
      <c r="A95" s="16" t="s">
        <v>63</v>
      </c>
      <c r="B95" s="17">
        <v>1631470996</v>
      </c>
      <c r="C95" s="18">
        <v>1407648620</v>
      </c>
      <c r="D95" s="17">
        <v>2168778576</v>
      </c>
      <c r="E95" s="18">
        <v>1602356332</v>
      </c>
      <c r="F95" s="17">
        <v>2096241726</v>
      </c>
      <c r="G95" s="18">
        <v>1509607584</v>
      </c>
      <c r="H95" s="17">
        <v>2812294081</v>
      </c>
      <c r="I95" s="18">
        <v>2057608074</v>
      </c>
      <c r="J95" s="17">
        <v>3119669767</v>
      </c>
      <c r="K95" s="18">
        <v>1810466686</v>
      </c>
      <c r="L95" s="17">
        <v>3206953047</v>
      </c>
      <c r="M95" s="18">
        <v>2088038944</v>
      </c>
      <c r="O95" s="23"/>
      <c r="P95" s="23"/>
      <c r="Q95" s="23"/>
      <c r="R95" s="23"/>
    </row>
    <row r="96" spans="1:18" ht="15.75" customHeight="1" outlineLevel="1" x14ac:dyDescent="0.2">
      <c r="A96" s="16" t="s">
        <v>64</v>
      </c>
      <c r="B96" s="17">
        <v>584134077</v>
      </c>
      <c r="C96" s="18">
        <v>388075950</v>
      </c>
      <c r="D96" s="17">
        <v>863622608</v>
      </c>
      <c r="E96" s="18">
        <v>415250136</v>
      </c>
      <c r="F96" s="17">
        <v>1527522302</v>
      </c>
      <c r="G96" s="18">
        <v>873248470</v>
      </c>
      <c r="H96" s="17">
        <v>1433502726</v>
      </c>
      <c r="I96" s="18">
        <v>820803712</v>
      </c>
      <c r="J96" s="17">
        <v>1329755080</v>
      </c>
      <c r="K96" s="18">
        <v>717936389</v>
      </c>
      <c r="L96" s="17">
        <v>2158509342</v>
      </c>
      <c r="M96" s="18">
        <v>1255539780</v>
      </c>
      <c r="O96" s="23"/>
      <c r="P96" s="23"/>
      <c r="Q96" s="23"/>
      <c r="R96" s="23"/>
    </row>
    <row r="97" spans="1:18" ht="15.75" customHeight="1" outlineLevel="1" x14ac:dyDescent="0.2">
      <c r="A97" s="16" t="s">
        <v>65</v>
      </c>
      <c r="B97" s="17">
        <v>1467888285</v>
      </c>
      <c r="C97" s="18">
        <v>1107731038</v>
      </c>
      <c r="D97" s="17">
        <v>1680187092</v>
      </c>
      <c r="E97" s="18">
        <v>1131538397</v>
      </c>
      <c r="F97" s="17">
        <v>1505925555</v>
      </c>
      <c r="G97" s="18">
        <v>926793916</v>
      </c>
      <c r="H97" s="17">
        <v>1456665186</v>
      </c>
      <c r="I97" s="18">
        <v>958880675</v>
      </c>
      <c r="J97" s="17">
        <v>680068381</v>
      </c>
      <c r="K97" s="18">
        <v>202816061</v>
      </c>
      <c r="L97" s="17">
        <v>1048285938</v>
      </c>
      <c r="M97" s="18">
        <v>501788988</v>
      </c>
      <c r="O97" s="23"/>
      <c r="P97" s="23"/>
      <c r="Q97" s="23"/>
      <c r="R97" s="23"/>
    </row>
    <row r="98" spans="1:18" ht="15.75" customHeight="1" outlineLevel="1" x14ac:dyDescent="0.2">
      <c r="A98" s="16" t="s">
        <v>66</v>
      </c>
      <c r="B98" s="17">
        <v>687295831</v>
      </c>
      <c r="C98" s="18">
        <v>560180189</v>
      </c>
      <c r="D98" s="17">
        <v>488084842</v>
      </c>
      <c r="E98" s="18">
        <v>409789732</v>
      </c>
      <c r="F98" s="17">
        <v>454871352</v>
      </c>
      <c r="G98" s="18">
        <v>385473426</v>
      </c>
      <c r="H98" s="17">
        <v>966957303</v>
      </c>
      <c r="I98" s="18">
        <v>579063872</v>
      </c>
      <c r="J98" s="17">
        <v>727466817</v>
      </c>
      <c r="K98" s="18">
        <v>572017395</v>
      </c>
      <c r="L98" s="17">
        <v>633650172</v>
      </c>
      <c r="M98" s="18">
        <v>401286271</v>
      </c>
      <c r="O98" s="23"/>
      <c r="P98" s="23"/>
      <c r="Q98" s="23"/>
      <c r="R98" s="23"/>
    </row>
    <row r="99" spans="1:18" ht="15.75" customHeight="1" outlineLevel="1" x14ac:dyDescent="0.2">
      <c r="A99" s="16" t="s">
        <v>67</v>
      </c>
      <c r="B99" s="17">
        <v>173323860</v>
      </c>
      <c r="C99" s="18">
        <v>0</v>
      </c>
      <c r="D99" s="17">
        <v>861349429</v>
      </c>
      <c r="E99" s="18">
        <v>0</v>
      </c>
      <c r="F99" s="17">
        <v>910079020</v>
      </c>
      <c r="G99" s="18">
        <v>0</v>
      </c>
      <c r="H99" s="17">
        <v>680251435</v>
      </c>
      <c r="I99" s="18">
        <v>0</v>
      </c>
      <c r="J99" s="17">
        <v>1303102507</v>
      </c>
      <c r="K99" s="18">
        <v>0</v>
      </c>
      <c r="L99" s="17">
        <v>1265064236</v>
      </c>
      <c r="M99" s="18">
        <v>0</v>
      </c>
      <c r="O99" s="23"/>
      <c r="P99" s="23"/>
      <c r="Q99" s="23"/>
      <c r="R99" s="23"/>
    </row>
    <row r="100" spans="1:18" ht="15.75" customHeight="1" outlineLevel="1" x14ac:dyDescent="0.2">
      <c r="A100" s="16" t="s">
        <v>68</v>
      </c>
      <c r="B100" s="17">
        <v>60039</v>
      </c>
      <c r="C100" s="18">
        <v>60039</v>
      </c>
      <c r="D100" s="17">
        <v>19667</v>
      </c>
      <c r="E100" s="18">
        <v>19667</v>
      </c>
      <c r="F100" s="17">
        <v>19977</v>
      </c>
      <c r="G100" s="18">
        <v>19977</v>
      </c>
      <c r="H100" s="17">
        <v>749133</v>
      </c>
      <c r="I100" s="18">
        <v>573888</v>
      </c>
      <c r="J100" s="17">
        <v>5197152</v>
      </c>
      <c r="K100" s="18">
        <v>197152</v>
      </c>
      <c r="L100" s="17">
        <v>5303122</v>
      </c>
      <c r="M100" s="18">
        <v>1415966</v>
      </c>
      <c r="O100" s="23"/>
      <c r="P100" s="23"/>
      <c r="Q100" s="23"/>
      <c r="R100" s="23"/>
    </row>
    <row r="101" spans="1:18" ht="15.75" customHeight="1" outlineLevel="1" x14ac:dyDescent="0.2">
      <c r="A101" s="32" t="s">
        <v>69</v>
      </c>
      <c r="B101" s="33"/>
      <c r="C101" s="34"/>
      <c r="D101" s="33">
        <v>6124400</v>
      </c>
      <c r="E101" s="34">
        <v>6124400</v>
      </c>
      <c r="F101" s="33"/>
      <c r="G101" s="34"/>
      <c r="H101" s="33"/>
      <c r="I101" s="34"/>
      <c r="J101" s="33"/>
      <c r="K101" s="34"/>
      <c r="L101" s="33"/>
      <c r="M101" s="34"/>
      <c r="O101" s="23"/>
      <c r="P101" s="23"/>
      <c r="Q101" s="23"/>
      <c r="R101" s="23"/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Muñoz Adarme</dc:creator>
  <cp:lastModifiedBy>Maria Jimena Lopez Munevar</cp:lastModifiedBy>
  <dcterms:created xsi:type="dcterms:W3CDTF">2024-12-12T06:43:56Z</dcterms:created>
  <dcterms:modified xsi:type="dcterms:W3CDTF">2026-10-13T16:09:47Z</dcterms:modified>
</cp:coreProperties>
</file>