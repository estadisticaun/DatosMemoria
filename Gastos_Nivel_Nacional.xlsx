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jimenalopez/GitHub/DatosMemoria/"/>
    </mc:Choice>
  </mc:AlternateContent>
  <xr:revisionPtr revIDLastSave="0" documentId="13_ncr:1_{4495DF10-8F0F-0945-A72E-F289BA4EC3D4}" xr6:coauthVersionLast="47" xr6:coauthVersionMax="47" xr10:uidLastSave="{00000000-0000-0000-0000-000000000000}"/>
  <workbookProtection lockStructure="1"/>
  <bookViews>
    <workbookView xWindow="0" yWindow="600" windowWidth="35640" windowHeight="1692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33" i="1" l="1"/>
  <c r="L133" i="1"/>
  <c r="K133" i="1"/>
  <c r="J133" i="1"/>
  <c r="I133" i="1"/>
  <c r="H133" i="1"/>
  <c r="G133" i="1"/>
  <c r="F133" i="1"/>
  <c r="E133" i="1"/>
  <c r="D133" i="1"/>
  <c r="M123" i="1"/>
  <c r="L123" i="1"/>
  <c r="K123" i="1"/>
  <c r="J123" i="1"/>
  <c r="J107" i="1" s="1"/>
  <c r="I123" i="1"/>
  <c r="I107" i="1" s="1"/>
  <c r="H123" i="1"/>
  <c r="H107" i="1" s="1"/>
  <c r="G123" i="1"/>
  <c r="G107" i="1" s="1"/>
  <c r="F123" i="1"/>
  <c r="F107" i="1" s="1"/>
  <c r="E123" i="1"/>
  <c r="E107" i="1" s="1"/>
  <c r="D123" i="1"/>
  <c r="D107" i="1" s="1"/>
  <c r="C123" i="1"/>
  <c r="C107" i="1" s="1"/>
  <c r="B123" i="1"/>
  <c r="B107" i="1" s="1"/>
  <c r="M108" i="1"/>
  <c r="M107" i="1" s="1"/>
  <c r="L108" i="1"/>
  <c r="L107" i="1" s="1"/>
  <c r="K108" i="1"/>
  <c r="K107" i="1" s="1"/>
  <c r="J108" i="1"/>
  <c r="I108" i="1"/>
  <c r="H108" i="1"/>
  <c r="G108" i="1"/>
  <c r="F108" i="1"/>
  <c r="E108" i="1"/>
  <c r="D108" i="1"/>
  <c r="C108" i="1"/>
  <c r="B108" i="1"/>
  <c r="M105" i="1"/>
  <c r="L105" i="1"/>
  <c r="K105" i="1"/>
  <c r="J105" i="1"/>
  <c r="I105" i="1"/>
  <c r="H105" i="1"/>
  <c r="G105" i="1"/>
  <c r="F105" i="1"/>
  <c r="E105" i="1"/>
  <c r="D105" i="1"/>
  <c r="C105" i="1"/>
  <c r="B105" i="1"/>
  <c r="G99" i="1"/>
  <c r="F99" i="1"/>
  <c r="E99" i="1"/>
  <c r="D99" i="1"/>
  <c r="C99" i="1"/>
  <c r="B99" i="1"/>
  <c r="F94" i="1"/>
  <c r="E94" i="1"/>
  <c r="D94" i="1"/>
  <c r="C94" i="1"/>
  <c r="B94" i="1"/>
  <c r="I89" i="1"/>
  <c r="H89" i="1"/>
  <c r="G89" i="1"/>
  <c r="F89" i="1"/>
  <c r="E89" i="1"/>
  <c r="D89" i="1"/>
  <c r="C89" i="1"/>
  <c r="B89" i="1"/>
  <c r="M83" i="1"/>
  <c r="L83" i="1"/>
  <c r="K83" i="1"/>
  <c r="J83" i="1"/>
  <c r="I83" i="1"/>
  <c r="H83" i="1"/>
  <c r="G83" i="1"/>
  <c r="F83" i="1"/>
  <c r="E83" i="1"/>
  <c r="D83" i="1"/>
  <c r="C83" i="1"/>
  <c r="B83" i="1"/>
  <c r="M77" i="1"/>
  <c r="L77" i="1"/>
  <c r="K77" i="1"/>
  <c r="J77" i="1"/>
  <c r="I77" i="1"/>
  <c r="H77" i="1"/>
  <c r="G77" i="1"/>
  <c r="F77" i="1"/>
  <c r="E77" i="1"/>
  <c r="D77" i="1"/>
  <c r="C77" i="1"/>
  <c r="B77" i="1"/>
  <c r="M68" i="1"/>
  <c r="L68" i="1"/>
  <c r="L32" i="1" s="1"/>
  <c r="K68" i="1"/>
  <c r="J68" i="1"/>
  <c r="I68" i="1"/>
  <c r="H68" i="1"/>
  <c r="G68" i="1"/>
  <c r="F68" i="1"/>
  <c r="E68" i="1"/>
  <c r="D68" i="1"/>
  <c r="C68" i="1"/>
  <c r="B68" i="1"/>
  <c r="M62" i="1"/>
  <c r="L62" i="1"/>
  <c r="K62" i="1"/>
  <c r="J62" i="1"/>
  <c r="I62" i="1"/>
  <c r="H62" i="1"/>
  <c r="G62" i="1"/>
  <c r="F62" i="1"/>
  <c r="E62" i="1"/>
  <c r="D62" i="1"/>
  <c r="C62" i="1"/>
  <c r="B62" i="1"/>
  <c r="M55" i="1"/>
  <c r="L55" i="1"/>
  <c r="K55" i="1"/>
  <c r="J55" i="1"/>
  <c r="I55" i="1"/>
  <c r="H55" i="1"/>
  <c r="G55" i="1"/>
  <c r="F55" i="1"/>
  <c r="E55" i="1"/>
  <c r="D55" i="1"/>
  <c r="C55" i="1"/>
  <c r="B55" i="1"/>
  <c r="G50" i="1"/>
  <c r="F50" i="1"/>
  <c r="E50" i="1"/>
  <c r="D50" i="1"/>
  <c r="C50" i="1"/>
  <c r="B50" i="1"/>
  <c r="M41" i="1"/>
  <c r="L41" i="1"/>
  <c r="K41" i="1"/>
  <c r="J41" i="1"/>
  <c r="I41" i="1"/>
  <c r="H41" i="1"/>
  <c r="G41" i="1"/>
  <c r="F41" i="1"/>
  <c r="E41" i="1"/>
  <c r="D41" i="1"/>
  <c r="C41" i="1"/>
  <c r="B41" i="1"/>
  <c r="M33" i="1"/>
  <c r="L33" i="1"/>
  <c r="K33" i="1"/>
  <c r="J33" i="1"/>
  <c r="I33" i="1"/>
  <c r="H33" i="1"/>
  <c r="G33" i="1"/>
  <c r="F33" i="1"/>
  <c r="E33" i="1"/>
  <c r="E32" i="1" s="1"/>
  <c r="D33" i="1"/>
  <c r="D32" i="1" s="1"/>
  <c r="C33" i="1"/>
  <c r="C32" i="1" s="1"/>
  <c r="B33" i="1"/>
  <c r="B32" i="1" s="1"/>
  <c r="M32" i="1"/>
  <c r="K32" i="1"/>
  <c r="J32" i="1"/>
  <c r="I32" i="1"/>
  <c r="H32" i="1"/>
  <c r="G32" i="1"/>
  <c r="F32" i="1"/>
  <c r="M21" i="1"/>
  <c r="L21" i="1"/>
  <c r="K21" i="1"/>
  <c r="J21" i="1"/>
  <c r="I21" i="1"/>
  <c r="H21" i="1"/>
  <c r="G21" i="1"/>
  <c r="F21" i="1"/>
  <c r="E21" i="1"/>
  <c r="D21" i="1"/>
  <c r="C21" i="1"/>
  <c r="B21" i="1"/>
  <c r="M15" i="1"/>
  <c r="L15" i="1"/>
  <c r="K15" i="1"/>
  <c r="J15" i="1"/>
  <c r="I15" i="1"/>
  <c r="H15" i="1"/>
  <c r="G15" i="1"/>
  <c r="F15" i="1"/>
  <c r="E15" i="1"/>
  <c r="D15" i="1"/>
  <c r="C15" i="1"/>
  <c r="B15" i="1"/>
  <c r="M8" i="1"/>
  <c r="L8" i="1"/>
  <c r="K8" i="1"/>
  <c r="J8" i="1"/>
  <c r="I8" i="1"/>
  <c r="H8" i="1"/>
  <c r="G8" i="1"/>
  <c r="F8" i="1"/>
  <c r="E8" i="1"/>
  <c r="D8" i="1"/>
  <c r="C8" i="1"/>
  <c r="C7" i="1" s="1"/>
  <c r="C6" i="1" s="1"/>
  <c r="B8" i="1"/>
  <c r="B7" i="1" s="1"/>
  <c r="B6" i="1" s="1"/>
  <c r="M7" i="1"/>
  <c r="M6" i="1" s="1"/>
  <c r="L7" i="1"/>
  <c r="L6" i="1" s="1"/>
  <c r="K7" i="1"/>
  <c r="K6" i="1" s="1"/>
  <c r="J7" i="1"/>
  <c r="J6" i="1" s="1"/>
  <c r="I7" i="1"/>
  <c r="I6" i="1" s="1"/>
  <c r="H7" i="1"/>
  <c r="H6" i="1" s="1"/>
  <c r="G7" i="1"/>
  <c r="G6" i="1" s="1"/>
  <c r="F7" i="1"/>
  <c r="F6" i="1" s="1"/>
  <c r="E7" i="1"/>
  <c r="E6" i="1" s="1"/>
  <c r="E5" i="1" s="1"/>
  <c r="D7" i="1"/>
  <c r="D6" i="1" s="1"/>
  <c r="C5" i="1" l="1"/>
  <c r="B5" i="1"/>
  <c r="M5" i="1"/>
  <c r="L5" i="1"/>
  <c r="K5" i="1"/>
  <c r="J5" i="1"/>
  <c r="I5" i="1"/>
  <c r="H5" i="1"/>
  <c r="G5" i="1"/>
  <c r="F5" i="1"/>
  <c r="D5" i="1"/>
</calcChain>
</file>

<file path=xl/sharedStrings.xml><?xml version="1.0" encoding="utf-8"?>
<sst xmlns="http://schemas.openxmlformats.org/spreadsheetml/2006/main" count="150" uniqueCount="93">
  <si>
    <t>UNIDAD GESTION GENERAL NIVEL NACIONAL, UNIDAD UNIMEDIOS NIVEL NACIONAL, UNIDAD UNIBIBLOS NIVEL NACIONAL</t>
  </si>
  <si>
    <t>CONCEPTO</t>
  </si>
  <si>
    <t>Apropiación definitiva</t>
  </si>
  <si>
    <t>Registro</t>
  </si>
  <si>
    <t>GESTIÓN GENERAL</t>
  </si>
  <si>
    <t>- NIVEL CENTRAL</t>
  </si>
  <si>
    <t xml:space="preserve">I. Funcionamiento </t>
  </si>
  <si>
    <t>GASTOS DE PERSONAL</t>
  </si>
  <si>
    <t>SERVICIOS PERSONALES INDIRECTOS</t>
  </si>
  <si>
    <t>SERVICIOS PERSONALES ASOCIADOS A NOMINA</t>
  </si>
  <si>
    <t>BONIFICACIONES</t>
  </si>
  <si>
    <t>PRIMAS</t>
  </si>
  <si>
    <t>CONTRIBUCIONES INHERENTES A LA NOMINA - SECTOR PRIVADO</t>
  </si>
  <si>
    <t>CONTRIBUCIONES INHERENTES A LA NOMINA - SECTOR PÚBLICO</t>
  </si>
  <si>
    <t>GASTOS GENERALES</t>
  </si>
  <si>
    <t>ADQUISICIÓN DE BIENES</t>
  </si>
  <si>
    <t>ADQUISICIÓN DE SERVICIOS</t>
  </si>
  <si>
    <t>IMPUESTOS, CONTRIBUCIONES Y MULTAS</t>
  </si>
  <si>
    <t>OPERACIONES INTERNAS POR ADQUISICION DE SERVICIOS</t>
  </si>
  <si>
    <t>OPERACIONES INTERNAS POR ADQUISICION DE BIENES</t>
  </si>
  <si>
    <t>TRANSFERENCIAS</t>
  </si>
  <si>
    <t>ADMINISTRACIÓN PUBLICA CENTRAL</t>
  </si>
  <si>
    <t>BECAS ESTUDIANTES</t>
  </si>
  <si>
    <t>BIENESTAR EMPLEADOS UN</t>
  </si>
  <si>
    <t>TRANSFERENCIAS OPERACIONES INTERNAS SIN CONTRAPRESTACIÓN</t>
  </si>
  <si>
    <t>SENTENCIAS Y CONCILIACIONES</t>
  </si>
  <si>
    <t>BIENESTAR ESTUDIANTES</t>
  </si>
  <si>
    <t>TRANSFERENCIAS A ENTIDADES EXTERNAS</t>
  </si>
  <si>
    <t>TRANSFERENCIAS DE CAPITAL</t>
  </si>
  <si>
    <t>VIGENCIAS EXPIRADAS FUNCIONAMIENTO</t>
  </si>
  <si>
    <t>FUNCIONAMIENTO PENDIENTE POR DISTRIBUIR</t>
  </si>
  <si>
    <t>II. Inversion</t>
  </si>
  <si>
    <t>DIVULGACIÓN, ASISTENCIA TÉCNICA Y CAPACITACIÓN DEL RECURSO HUMANO.</t>
  </si>
  <si>
    <t>PRESUPUESTO POR DISTRIBUIR - DIVULGACIÓN, ASISTENCIA TÉCNICA Y CAPACITACIÓN DEL RECURSO HUMANO.</t>
  </si>
  <si>
    <t>OTRAS TRANSFERENCIAS</t>
  </si>
  <si>
    <t>ADMINIST., CONTROL Y ORGANIZACIÓN INSTITUCIONAL PARA APOYO A LA ADMINISTRACION DEL ESTADO</t>
  </si>
  <si>
    <t>PRESUPUESTO POR DISTRIBUIR - ADMINIST., CONTROL Y ORGANIZACIÓN INSTITUCIONAL PARA APOYO A LA ADMINIS. DEL ESTADO</t>
  </si>
  <si>
    <t>VIGENCIAS EXPIRADAS GASTOS DE INVERSIÓN</t>
  </si>
  <si>
    <t xml:space="preserve">IMPUESTOS, CONTRIBUCIONES Y MULTAS </t>
  </si>
  <si>
    <t>MEJORAMIENTO Y MANTENIMIENTO DE INFRAESTRUCTURA PROPIA DEL SECTOR</t>
  </si>
  <si>
    <t>PRESUPUESTO POR DISTRIBUIR - MEJORAMIENTO Y MANTENIMIENTO DE INFRAESTRUCTURA PROPIA DEL SECTOR</t>
  </si>
  <si>
    <t>ADQUS. Y/O PRODUCC. DE EQUIPOS, MATER. SUMINIS. Y SERVICIOS PROPIOS DEL SECTOR</t>
  </si>
  <si>
    <t>PRESUPUESTO POR DISTRIBUIR - ADQUS. Y/O PRODUCC. DE EQUIPOS, MATER. SUMINIS. Y SERVICIOS PROPIOS DEL SECTOR</t>
  </si>
  <si>
    <t>PROTECCIÓN Y BIENESTAR SOCIAL DEL RECURSO HUMANO</t>
  </si>
  <si>
    <t xml:space="preserve"> BIENESTAR ESTUDIANTES</t>
  </si>
  <si>
    <t>INVESTIGACION APLICADA A ESTUDIOS</t>
  </si>
  <si>
    <t>PRESUPUESTO POR DISTRIBUIR - INVESTIGACION APLICADA A ESTUDIOS</t>
  </si>
  <si>
    <t>ESTUDIOS DE PRE INVERSIÓN</t>
  </si>
  <si>
    <t>PRESUPUESTO POR DISTRIBUIR - ESTUDIOS DE PRE INVERSIÓN</t>
  </si>
  <si>
    <t xml:space="preserve">OPERACIONES INTERNAS POR ADQUISICION DE SERVICIOS </t>
  </si>
  <si>
    <t>LEVANTAMIENTO DE INFORMACIÓN PARA PROCESAMIENTO</t>
  </si>
  <si>
    <t>PRESUPUESTO POR DISTRIBUIR - LEVANTAMIENTO DE INFORMACIÓN PARA PROCESAMIENTO</t>
  </si>
  <si>
    <t>ATENCION, CONTROL Y ORGANIZACIÓN INSTITUCIONAL PARA APOYO A LA GESTION  DEL ESTADO</t>
  </si>
  <si>
    <t>CONSTRUCCIÓN DE INFRAESTRUCTURA PROPIA DEL SECTOR</t>
  </si>
  <si>
    <t>PRESUPUESTO POR DISTRIBUIR - CONSTRUCCIÓN DE INFRAESTRUCTURA PROPIA DEL SECTOR</t>
  </si>
  <si>
    <t>ACTUALIZACIÓN DE INFORMACIÓN PARA PROCESAMIENTO</t>
  </si>
  <si>
    <t>ASIST TÉCNICA DIVULG Y CAPACIT A FUNC DEL ESTADO PARA APOYO A LA ADMINIS DEL ESTADO</t>
  </si>
  <si>
    <t>INVERSIÓN PENDIENTE POR DISTRIBUIR</t>
  </si>
  <si>
    <t>III. Servicio a la deuda</t>
  </si>
  <si>
    <t>SERVICIO DE LA DEUDA PENDIENTE POR DISTRIBUIR</t>
  </si>
  <si>
    <t>- FONDOS ESPECIALES</t>
  </si>
  <si>
    <t>GASTOS DESTINACION REGULADA</t>
  </si>
  <si>
    <t>SERVICIOS PERSONALES INDIRECTOS - REGULADA</t>
  </si>
  <si>
    <t>ADQUISICIÓN DE BIENES - REGULADA</t>
  </si>
  <si>
    <t>ADQUISICIÓN DE SERVICIOS REGULADA</t>
  </si>
  <si>
    <t>OPERACIONES INTERNAS POR ADQUISICION DE SERVICIOS - REGULADA</t>
  </si>
  <si>
    <t>IMPUESTOS , CONTRIBUCIONES  Y MULTAS REGULADA</t>
  </si>
  <si>
    <t>TRANSFERENCIAS OPERACIONES INTERNAS SIN CONTRAPRESTACIÓN REGULADA</t>
  </si>
  <si>
    <t>GASTOS DE OPERACIÓN COMERCIAL - REGULADA</t>
  </si>
  <si>
    <t>OPERACIONES INTERNAS POR  ADQUISICION DE BIENES  -REGULADA</t>
  </si>
  <si>
    <t>BIENESTAR ESTUDIANTES REGULADA</t>
  </si>
  <si>
    <t>PRESUPUESTO POR DISTRIBUIR - REGULADA</t>
  </si>
  <si>
    <t>OTRAS TRANSFERENCIAS - REGULADA</t>
  </si>
  <si>
    <t>APORTES SALUD  REGULADA</t>
  </si>
  <si>
    <t>VIGENCIAS EXPIRADAS REGULADA</t>
  </si>
  <si>
    <t>GASTOS DE DESTINACIÓN ESPECIFICA</t>
  </si>
  <si>
    <t>SERVICIOS PERSONALES INDIRECTOS - ESPECIFICA</t>
  </si>
  <si>
    <t>ADQUISICIÓN DE SERVICIOS ESPECIFICA</t>
  </si>
  <si>
    <t>IMPUESTOS, CONTRIBUCIONES   Y MULTAS - ESPECIFICA</t>
  </si>
  <si>
    <t>TRANSFERENCIAS ENTRE FONDOS SIN CONTRAPRESTACIÓN - ESPECIFICA</t>
  </si>
  <si>
    <t>TRANSFERENCIAS EXTENSION  - ESPECIFICA</t>
  </si>
  <si>
    <t>ADQUISICIÓN DE BIENES - ESPECIFICA</t>
  </si>
  <si>
    <t>OPERACIONES INTERNAS POR ADQUISICION DE SERVICIOS ESPECIFICA</t>
  </si>
  <si>
    <t>GASTOS DE OPERACIÓN COMERCIAL -ESPECIFICA</t>
  </si>
  <si>
    <t>PRESPUESTO POR DISTRIBUIR - GASTOS DE DESTINACIÓN ESPECÍFICA</t>
  </si>
  <si>
    <t>GASTOS DE DESTINACION ESPECIFICA  UGI FONDO</t>
  </si>
  <si>
    <t>SERVICIOS PERSONALES INDIRECTOS -  ESPECIFICA UGI FONDO</t>
  </si>
  <si>
    <t>ADQUISICIÓN DE BIENES - ESPECIFICA UGI FONDO</t>
  </si>
  <si>
    <t>ADQUISICIÓN DE SERVICIOS - ESPECIFICA UGI FONDO</t>
  </si>
  <si>
    <t>IMPUESTOS, CONTRIBUCIONES Y MULTAS - ESPECIFICA UGI FONDO</t>
  </si>
  <si>
    <t>TRANSFERENCIAS OPERACIONES INTERNAS SIN CONTRAPRESTACIÓN - ESPECIFICA UGI FONDO</t>
  </si>
  <si>
    <t>VIGENCIAS EXPIRADAS -  ESPECIFICA UGI FONDO</t>
  </si>
  <si>
    <t>PRESUPUESTO POR DISTRIBUIR -  ESPECIFICA UGI FONDO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</si>
</sst>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/>
  </cellStyleXfs>
  <cellXfs count="60">
    <xf numFmtId="0" fontId="0" fillId="0" borderId="0" xfId="0"/>
    <xf numFmtId="0" fontId="0" fillId="0" borderId="1" xfId="0" applyBorder="1"/>
    <xf numFmtId="164" fontId="0" fillId="0" borderId="2" xfId="1" applyNumberFormat="1" applyFont="1" applyBorder="1"/>
    <xf numFmtId="164" fontId="0" fillId="0" borderId="3" xfId="1" applyNumberFormat="1" applyFont="1" applyBorder="1"/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3" fillId="3" borderId="9" xfId="0" applyFont="1" applyFill="1" applyBorder="1"/>
    <xf numFmtId="164" fontId="5" fillId="3" borderId="9" xfId="0" applyNumberFormat="1" applyFont="1" applyFill="1" applyBorder="1"/>
    <xf numFmtId="164" fontId="5" fillId="3" borderId="10" xfId="0" applyNumberFormat="1" applyFont="1" applyFill="1" applyBorder="1"/>
    <xf numFmtId="0" fontId="6" fillId="4" borderId="9" xfId="0" quotePrefix="1" applyFont="1" applyFill="1" applyBorder="1"/>
    <xf numFmtId="164" fontId="6" fillId="4" borderId="9" xfId="0" applyNumberFormat="1" applyFont="1" applyFill="1" applyBorder="1"/>
    <xf numFmtId="164" fontId="6" fillId="4" borderId="10" xfId="0" applyNumberFormat="1" applyFont="1" applyFill="1" applyBorder="1"/>
    <xf numFmtId="0" fontId="3" fillId="5" borderId="7" xfId="0" applyFont="1" applyFill="1" applyBorder="1"/>
    <xf numFmtId="164" fontId="3" fillId="5" borderId="9" xfId="0" applyNumberFormat="1" applyFont="1" applyFill="1" applyBorder="1"/>
    <xf numFmtId="164" fontId="3" fillId="5" borderId="4" xfId="0" applyNumberFormat="1" applyFont="1" applyFill="1" applyBorder="1"/>
    <xf numFmtId="0" fontId="0" fillId="0" borderId="11" xfId="0" applyBorder="1"/>
    <xf numFmtId="164" fontId="0" fillId="0" borderId="12" xfId="0" applyNumberFormat="1" applyBorder="1"/>
    <xf numFmtId="164" fontId="0" fillId="0" borderId="6" xfId="0" applyNumberFormat="1" applyBorder="1"/>
    <xf numFmtId="0" fontId="0" fillId="0" borderId="1" xfId="0" applyBorder="1" applyAlignment="1">
      <alignment horizontal="left" indent="3"/>
    </xf>
    <xf numFmtId="164" fontId="0" fillId="0" borderId="0" xfId="0" applyNumberFormat="1" applyAlignment="1">
      <alignment horizontal="left" indent="3"/>
    </xf>
    <xf numFmtId="164" fontId="0" fillId="0" borderId="3" xfId="0" applyNumberFormat="1" applyBorder="1" applyAlignment="1">
      <alignment horizontal="left" indent="3"/>
    </xf>
    <xf numFmtId="164" fontId="1" fillId="0" borderId="0" xfId="1" applyNumberFormat="1"/>
    <xf numFmtId="164" fontId="1" fillId="0" borderId="3" xfId="1" applyNumberFormat="1" applyBorder="1"/>
    <xf numFmtId="164" fontId="1" fillId="0" borderId="0" xfId="1" applyNumberFormat="1" applyAlignment="1">
      <alignment horizontal="left" indent="3"/>
    </xf>
    <xf numFmtId="164" fontId="1" fillId="0" borderId="3" xfId="1" applyNumberFormat="1" applyBorder="1" applyAlignment="1">
      <alignment horizontal="left" indent="3"/>
    </xf>
    <xf numFmtId="164" fontId="1" fillId="0" borderId="4" xfId="1" applyNumberFormat="1" applyBorder="1"/>
    <xf numFmtId="164" fontId="1" fillId="0" borderId="8" xfId="1" applyNumberFormat="1" applyBorder="1"/>
    <xf numFmtId="164" fontId="3" fillId="5" borderId="13" xfId="0" applyNumberFormat="1" applyFont="1" applyFill="1" applyBorder="1"/>
    <xf numFmtId="164" fontId="3" fillId="5" borderId="14" xfId="0" applyNumberFormat="1" applyFont="1" applyFill="1" applyBorder="1"/>
    <xf numFmtId="164" fontId="0" fillId="0" borderId="0" xfId="1" applyNumberFormat="1" applyFont="1"/>
    <xf numFmtId="164" fontId="0" fillId="0" borderId="0" xfId="1" applyNumberFormat="1" applyFont="1" applyAlignment="1">
      <alignment horizontal="left" indent="3"/>
    </xf>
    <xf numFmtId="164" fontId="0" fillId="0" borderId="3" xfId="1" applyNumberFormat="1" applyFont="1" applyBorder="1" applyAlignment="1">
      <alignment horizontal="left" indent="3"/>
    </xf>
    <xf numFmtId="164" fontId="3" fillId="5" borderId="10" xfId="0" applyNumberFormat="1" applyFont="1" applyFill="1" applyBorder="1"/>
    <xf numFmtId="0" fontId="0" fillId="0" borderId="13" xfId="0" applyBorder="1" applyAlignment="1">
      <alignment vertical="center" wrapText="1"/>
    </xf>
    <xf numFmtId="164" fontId="0" fillId="0" borderId="12" xfId="1" applyNumberFormat="1" applyFont="1" applyBorder="1"/>
    <xf numFmtId="164" fontId="0" fillId="0" borderId="6" xfId="1" applyNumberFormat="1" applyFont="1" applyBorder="1"/>
    <xf numFmtId="0" fontId="6" fillId="4" borderId="13" xfId="0" quotePrefix="1" applyFont="1" applyFill="1" applyBorder="1"/>
    <xf numFmtId="164" fontId="6" fillId="4" borderId="14" xfId="0" applyNumberFormat="1" applyFont="1" applyFill="1" applyBorder="1"/>
    <xf numFmtId="164" fontId="0" fillId="0" borderId="5" xfId="1" applyNumberFormat="1" applyFont="1" applyBorder="1"/>
    <xf numFmtId="164" fontId="0" fillId="0" borderId="2" xfId="1" applyNumberFormat="1" applyFont="1" applyBorder="1" applyAlignment="1">
      <alignment horizontal="left" indent="3"/>
    </xf>
    <xf numFmtId="0" fontId="0" fillId="0" borderId="0" xfId="0" applyAlignment="1">
      <alignment vertical="center" wrapText="1"/>
    </xf>
    <xf numFmtId="164" fontId="0" fillId="0" borderId="2" xfId="1" applyNumberFormat="1" applyFont="1" applyBorder="1" applyAlignment="1">
      <alignment horizontal="left" vertical="center" wrapText="1" indent="3"/>
    </xf>
    <xf numFmtId="164" fontId="0" fillId="0" borderId="3" xfId="1" applyNumberFormat="1" applyFont="1" applyBorder="1" applyAlignment="1">
      <alignment horizontal="left" indent="6"/>
    </xf>
    <xf numFmtId="164" fontId="0" fillId="0" borderId="2" xfId="1" applyNumberFormat="1" applyFont="1" applyBorder="1" applyAlignment="1">
      <alignment horizontal="left" indent="6"/>
    </xf>
    <xf numFmtId="0" fontId="0" fillId="0" borderId="15" xfId="0" applyBorder="1" applyAlignment="1">
      <alignment horizontal="left" indent="3"/>
    </xf>
    <xf numFmtId="0" fontId="0" fillId="0" borderId="7" xfId="0" applyBorder="1"/>
    <xf numFmtId="0" fontId="0" fillId="0" borderId="8" xfId="0" applyBorder="1"/>
    <xf numFmtId="164" fontId="0" fillId="0" borderId="7" xfId="1" applyNumberFormat="1" applyFont="1" applyBorder="1"/>
    <xf numFmtId="164" fontId="0" fillId="0" borderId="8" xfId="1" applyNumberFormat="1" applyFont="1" applyBorder="1"/>
    <xf numFmtId="0" fontId="2" fillId="2" borderId="11" xfId="0" applyFont="1" applyFill="1" applyBorder="1" applyAlignment="1">
      <alignment horizontal="center" vertical="center"/>
    </xf>
    <xf numFmtId="0" fontId="0" fillId="0" borderId="6" xfId="0" applyBorder="1"/>
    <xf numFmtId="0" fontId="4" fillId="0" borderId="4" xfId="0" applyFont="1" applyBorder="1" applyAlignment="1">
      <alignment horizontal="center" vertical="center"/>
    </xf>
    <xf numFmtId="0" fontId="0" fillId="0" borderId="0" xfId="0"/>
    <xf numFmtId="0" fontId="0" fillId="0" borderId="4" xfId="0" applyBorder="1"/>
    <xf numFmtId="0" fontId="2" fillId="2" borderId="9" xfId="0" applyFont="1" applyFill="1" applyBorder="1" applyAlignment="1">
      <alignment horizontal="center" vertical="center"/>
    </xf>
    <xf numFmtId="0" fontId="0" fillId="0" borderId="7" xfId="0" applyBorder="1"/>
    <xf numFmtId="164" fontId="1" fillId="0" borderId="3" xfId="1" applyNumberFormat="1" applyFill="1" applyBorder="1"/>
    <xf numFmtId="164" fontId="1" fillId="0" borderId="0" xfId="1" applyNumberFormat="1" applyFill="1"/>
    <xf numFmtId="164" fontId="1" fillId="0" borderId="3" xfId="1" applyNumberFormat="1" applyFill="1" applyBorder="1" applyAlignment="1">
      <alignment horizontal="left" indent="3"/>
    </xf>
    <xf numFmtId="164" fontId="1" fillId="0" borderId="0" xfId="1" applyNumberFormat="1" applyFill="1" applyAlignment="1">
      <alignment horizontal="left" indent="3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40"/>
  <sheetViews>
    <sheetView tabSelected="1" zoomScale="70" zoomScaleNormal="70" workbookViewId="0">
      <selection activeCell="F24" sqref="F24"/>
    </sheetView>
  </sheetViews>
  <sheetFormatPr baseColWidth="10" defaultColWidth="0" defaultRowHeight="15" zeroHeight="1" outlineLevelRow="1" x14ac:dyDescent="0.2"/>
  <cols>
    <col min="1" max="1" width="44.5" customWidth="1"/>
    <col min="2" max="13" width="24.5" bestFit="1" customWidth="1"/>
    <col min="14" max="20" width="0" hidden="1" customWidth="1"/>
    <col min="21" max="21" width="11.5" hidden="1" customWidth="1"/>
    <col min="22" max="16384" width="11.5" hidden="1"/>
  </cols>
  <sheetData>
    <row r="1" spans="1:13" x14ac:dyDescent="0.2">
      <c r="A1" s="51" t="s">
        <v>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</row>
    <row r="2" spans="1:13" x14ac:dyDescent="0.2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</row>
    <row r="3" spans="1:13" x14ac:dyDescent="0.2">
      <c r="A3" s="54" t="s">
        <v>1</v>
      </c>
      <c r="B3" s="49">
        <v>2016</v>
      </c>
      <c r="C3" s="50"/>
      <c r="D3" s="49">
        <v>2017</v>
      </c>
      <c r="E3" s="50"/>
      <c r="F3" s="49">
        <v>2018</v>
      </c>
      <c r="G3" s="50"/>
      <c r="H3" s="49">
        <v>2019</v>
      </c>
      <c r="I3" s="50"/>
      <c r="J3" s="49">
        <v>2020</v>
      </c>
      <c r="K3" s="50"/>
      <c r="L3" s="49">
        <v>2021</v>
      </c>
      <c r="M3" s="50"/>
    </row>
    <row r="4" spans="1:13" x14ac:dyDescent="0.2">
      <c r="A4" s="55"/>
      <c r="B4" s="4" t="s">
        <v>2</v>
      </c>
      <c r="C4" s="5" t="s">
        <v>3</v>
      </c>
      <c r="D4" s="4" t="s">
        <v>2</v>
      </c>
      <c r="E4" s="5" t="s">
        <v>3</v>
      </c>
      <c r="F4" s="4" t="s">
        <v>2</v>
      </c>
      <c r="G4" s="5" t="s">
        <v>3</v>
      </c>
      <c r="H4" s="4" t="s">
        <v>2</v>
      </c>
      <c r="I4" s="5" t="s">
        <v>3</v>
      </c>
      <c r="J4" s="4" t="s">
        <v>2</v>
      </c>
      <c r="K4" s="5" t="s">
        <v>3</v>
      </c>
      <c r="L4" s="4" t="s">
        <v>2</v>
      </c>
      <c r="M4" s="5" t="s">
        <v>3</v>
      </c>
    </row>
    <row r="5" spans="1:13" ht="18.75" customHeight="1" x14ac:dyDescent="0.25">
      <c r="A5" s="6" t="s">
        <v>4</v>
      </c>
      <c r="B5" s="7">
        <f t="shared" ref="B5:M5" si="0">+B6+B107</f>
        <v>155557529948</v>
      </c>
      <c r="C5" s="8">
        <f t="shared" si="0"/>
        <v>122229037434</v>
      </c>
      <c r="D5" s="7">
        <f t="shared" si="0"/>
        <v>167760962529</v>
      </c>
      <c r="E5" s="8">
        <f t="shared" si="0"/>
        <v>138106308172</v>
      </c>
      <c r="F5" s="7">
        <f t="shared" si="0"/>
        <v>149400926859</v>
      </c>
      <c r="G5" s="8">
        <f t="shared" si="0"/>
        <v>130838494113</v>
      </c>
      <c r="H5" s="7">
        <f t="shared" si="0"/>
        <v>208021406542</v>
      </c>
      <c r="I5" s="8">
        <f t="shared" si="0"/>
        <v>128504369451</v>
      </c>
      <c r="J5" s="7">
        <f t="shared" si="0"/>
        <v>202262300700</v>
      </c>
      <c r="K5" s="8">
        <f t="shared" si="0"/>
        <v>158330108054</v>
      </c>
      <c r="L5" s="7">
        <f t="shared" si="0"/>
        <v>215901820686</v>
      </c>
      <c r="M5" s="8">
        <f t="shared" si="0"/>
        <v>145557770485</v>
      </c>
    </row>
    <row r="6" spans="1:13" ht="15.75" customHeight="1" x14ac:dyDescent="0.2">
      <c r="A6" s="9" t="s">
        <v>5</v>
      </c>
      <c r="B6" s="10">
        <f t="shared" ref="B6:M6" si="1">+B7+B32+B105</f>
        <v>141637211925</v>
      </c>
      <c r="C6" s="11">
        <f t="shared" si="1"/>
        <v>116236171982</v>
      </c>
      <c r="D6" s="10">
        <f t="shared" si="1"/>
        <v>159478420956</v>
      </c>
      <c r="E6" s="11">
        <f t="shared" si="1"/>
        <v>133218235463</v>
      </c>
      <c r="F6" s="10">
        <f t="shared" si="1"/>
        <v>141563441618</v>
      </c>
      <c r="G6" s="11">
        <f t="shared" si="1"/>
        <v>125776478254</v>
      </c>
      <c r="H6" s="10">
        <f t="shared" si="1"/>
        <v>197686858851</v>
      </c>
      <c r="I6" s="11">
        <f t="shared" si="1"/>
        <v>121581519736</v>
      </c>
      <c r="J6" s="10">
        <f t="shared" si="1"/>
        <v>186477577178</v>
      </c>
      <c r="K6" s="11">
        <f t="shared" si="1"/>
        <v>150224746096</v>
      </c>
      <c r="L6" s="10">
        <f t="shared" si="1"/>
        <v>198905359846</v>
      </c>
      <c r="M6" s="11">
        <f t="shared" si="1"/>
        <v>138070243565</v>
      </c>
    </row>
    <row r="7" spans="1:13" x14ac:dyDescent="0.2">
      <c r="A7" s="12" t="s">
        <v>6</v>
      </c>
      <c r="B7" s="13">
        <f t="shared" ref="B7:M7" si="2">+B8+B15+B21+B30+B31</f>
        <v>83186126844</v>
      </c>
      <c r="C7" s="14">
        <f t="shared" si="2"/>
        <v>82995970899</v>
      </c>
      <c r="D7" s="13">
        <f t="shared" si="2"/>
        <v>96739813586</v>
      </c>
      <c r="E7" s="14">
        <f t="shared" si="2"/>
        <v>92134237501</v>
      </c>
      <c r="F7" s="13">
        <f t="shared" si="2"/>
        <v>99143316596</v>
      </c>
      <c r="G7" s="14">
        <f t="shared" si="2"/>
        <v>96294354584</v>
      </c>
      <c r="H7" s="13">
        <f t="shared" si="2"/>
        <v>122883729965</v>
      </c>
      <c r="I7" s="14">
        <f t="shared" si="2"/>
        <v>113288484284</v>
      </c>
      <c r="J7" s="13">
        <f t="shared" si="2"/>
        <v>138822574282</v>
      </c>
      <c r="K7" s="14">
        <f t="shared" si="2"/>
        <v>123789530058</v>
      </c>
      <c r="L7" s="13">
        <f t="shared" si="2"/>
        <v>135183692737</v>
      </c>
      <c r="M7" s="14">
        <f t="shared" si="2"/>
        <v>104306200807</v>
      </c>
    </row>
    <row r="8" spans="1:13" ht="15.75" customHeight="1" x14ac:dyDescent="0.2">
      <c r="A8" s="15" t="s">
        <v>7</v>
      </c>
      <c r="B8" s="16">
        <f t="shared" ref="B8:M8" si="3">SUM(B9:B14)</f>
        <v>62803730877</v>
      </c>
      <c r="C8" s="17">
        <f t="shared" si="3"/>
        <v>62802479002</v>
      </c>
      <c r="D8" s="16">
        <f t="shared" si="3"/>
        <v>69265120351</v>
      </c>
      <c r="E8" s="17">
        <f t="shared" si="3"/>
        <v>69160663541</v>
      </c>
      <c r="F8" s="16">
        <f t="shared" si="3"/>
        <v>72688256917</v>
      </c>
      <c r="G8" s="17">
        <f t="shared" si="3"/>
        <v>72463613871</v>
      </c>
      <c r="H8" s="16">
        <f t="shared" si="3"/>
        <v>84894472773</v>
      </c>
      <c r="I8" s="17">
        <f t="shared" si="3"/>
        <v>84302176355</v>
      </c>
      <c r="J8" s="16">
        <f t="shared" si="3"/>
        <v>98459458777</v>
      </c>
      <c r="K8" s="17">
        <f t="shared" si="3"/>
        <v>97081047384</v>
      </c>
      <c r="L8" s="16">
        <f t="shared" si="3"/>
        <v>107122843348</v>
      </c>
      <c r="M8" s="17">
        <f t="shared" si="3"/>
        <v>82986413450</v>
      </c>
    </row>
    <row r="9" spans="1:13" ht="15.75" customHeight="1" outlineLevel="1" x14ac:dyDescent="0.2">
      <c r="A9" s="18" t="s">
        <v>8</v>
      </c>
      <c r="B9" s="19">
        <v>5942920011</v>
      </c>
      <c r="C9" s="20">
        <v>5941668136</v>
      </c>
      <c r="D9" s="19">
        <v>5779441491</v>
      </c>
      <c r="E9" s="20">
        <v>5675784681</v>
      </c>
      <c r="F9" s="19">
        <v>5929961425</v>
      </c>
      <c r="G9" s="20">
        <v>5735984050</v>
      </c>
      <c r="H9" s="19">
        <v>7233277305</v>
      </c>
      <c r="I9" s="20">
        <v>6644431341</v>
      </c>
      <c r="J9" s="19">
        <v>5477451213</v>
      </c>
      <c r="K9" s="20">
        <v>4725115066</v>
      </c>
      <c r="L9" s="19">
        <v>5675177183</v>
      </c>
      <c r="M9" s="20">
        <v>4945945003</v>
      </c>
    </row>
    <row r="10" spans="1:13" ht="15.75" customHeight="1" outlineLevel="1" x14ac:dyDescent="0.2">
      <c r="A10" s="18" t="s">
        <v>9</v>
      </c>
      <c r="B10" s="19">
        <v>14701600551</v>
      </c>
      <c r="C10" s="20">
        <v>14701600551</v>
      </c>
      <c r="D10" s="19">
        <v>15670208241</v>
      </c>
      <c r="E10" s="20">
        <v>15670208241</v>
      </c>
      <c r="F10" s="19">
        <v>16252728380</v>
      </c>
      <c r="G10" s="20">
        <v>16222062709</v>
      </c>
      <c r="H10" s="19">
        <v>16864252753</v>
      </c>
      <c r="I10" s="20">
        <v>16860802299</v>
      </c>
      <c r="J10" s="19">
        <v>17350034439</v>
      </c>
      <c r="K10" s="20">
        <v>17327922987</v>
      </c>
      <c r="L10" s="19">
        <v>30194906294</v>
      </c>
      <c r="M10" s="20">
        <v>17591450668</v>
      </c>
    </row>
    <row r="11" spans="1:13" ht="15.75" customHeight="1" outlineLevel="1" x14ac:dyDescent="0.2">
      <c r="A11" s="18" t="s">
        <v>10</v>
      </c>
      <c r="B11" s="19">
        <v>1540087722</v>
      </c>
      <c r="C11" s="20">
        <v>1540087722</v>
      </c>
      <c r="D11" s="19">
        <v>1792081702</v>
      </c>
      <c r="E11" s="20">
        <v>1791281702</v>
      </c>
      <c r="F11" s="19">
        <v>1680846980</v>
      </c>
      <c r="G11" s="20">
        <v>1680846980</v>
      </c>
      <c r="H11" s="19">
        <v>1735922791</v>
      </c>
      <c r="I11" s="20">
        <v>1735922791</v>
      </c>
      <c r="J11" s="19">
        <v>1607307643</v>
      </c>
      <c r="K11" s="20">
        <v>1607307643</v>
      </c>
      <c r="L11" s="19">
        <v>1628927215</v>
      </c>
      <c r="M11" s="20">
        <v>1628927215</v>
      </c>
    </row>
    <row r="12" spans="1:13" ht="15.75" customHeight="1" outlineLevel="1" x14ac:dyDescent="0.2">
      <c r="A12" s="18" t="s">
        <v>11</v>
      </c>
      <c r="B12" s="19">
        <v>3981982674</v>
      </c>
      <c r="C12" s="20">
        <v>3981982674</v>
      </c>
      <c r="D12" s="19">
        <v>4239040482</v>
      </c>
      <c r="E12" s="20">
        <v>4239040482</v>
      </c>
      <c r="F12" s="19">
        <v>4428840850</v>
      </c>
      <c r="G12" s="20">
        <v>4428840850</v>
      </c>
      <c r="H12" s="19">
        <v>4399770077</v>
      </c>
      <c r="I12" s="20">
        <v>4399770077</v>
      </c>
      <c r="J12" s="19">
        <v>4558739277</v>
      </c>
      <c r="K12" s="20">
        <v>4558739277</v>
      </c>
      <c r="L12" s="19">
        <v>15543525247</v>
      </c>
      <c r="M12" s="20">
        <v>4739783155</v>
      </c>
    </row>
    <row r="13" spans="1:13" ht="15.75" customHeight="1" outlineLevel="1" x14ac:dyDescent="0.2">
      <c r="A13" s="18" t="s">
        <v>12</v>
      </c>
      <c r="B13" s="19">
        <v>14695926535</v>
      </c>
      <c r="C13" s="20">
        <v>14695926535</v>
      </c>
      <c r="D13" s="19">
        <v>15913908070</v>
      </c>
      <c r="E13" s="20">
        <v>15913908070</v>
      </c>
      <c r="F13" s="19">
        <v>17376007983</v>
      </c>
      <c r="G13" s="20">
        <v>17376007983</v>
      </c>
      <c r="H13" s="19">
        <v>20169810222</v>
      </c>
      <c r="I13" s="20">
        <v>20169810222</v>
      </c>
      <c r="J13" s="19">
        <v>38439316215</v>
      </c>
      <c r="K13" s="20">
        <v>37835362764</v>
      </c>
      <c r="L13" s="19">
        <v>22077468090</v>
      </c>
      <c r="M13" s="20">
        <v>22077468090</v>
      </c>
    </row>
    <row r="14" spans="1:13" ht="15.75" customHeight="1" outlineLevel="1" x14ac:dyDescent="0.2">
      <c r="A14" s="18" t="s">
        <v>13</v>
      </c>
      <c r="B14" s="19">
        <v>21941213384</v>
      </c>
      <c r="C14" s="20">
        <v>21941213384</v>
      </c>
      <c r="D14" s="19">
        <v>25870440365</v>
      </c>
      <c r="E14" s="20">
        <v>25870440365</v>
      </c>
      <c r="F14" s="19">
        <v>27019871299</v>
      </c>
      <c r="G14" s="20">
        <v>27019871299</v>
      </c>
      <c r="H14" s="19">
        <v>34491439625</v>
      </c>
      <c r="I14" s="20">
        <v>34491439625</v>
      </c>
      <c r="J14" s="19">
        <v>31026609990</v>
      </c>
      <c r="K14" s="20">
        <v>31026599647</v>
      </c>
      <c r="L14" s="19">
        <v>32002839319</v>
      </c>
      <c r="M14" s="20">
        <v>32002839319</v>
      </c>
    </row>
    <row r="15" spans="1:13" ht="15.75" customHeight="1" x14ac:dyDescent="0.2">
      <c r="A15" s="1" t="s">
        <v>14</v>
      </c>
      <c r="B15" s="21">
        <f t="shared" ref="B15:M15" si="4">SUM(B16:B20)</f>
        <v>14697502968</v>
      </c>
      <c r="C15" s="22">
        <f t="shared" si="4"/>
        <v>14508598898</v>
      </c>
      <c r="D15" s="21">
        <f t="shared" si="4"/>
        <v>16682591185</v>
      </c>
      <c r="E15" s="22">
        <f t="shared" si="4"/>
        <v>15285157956</v>
      </c>
      <c r="F15" s="21">
        <f t="shared" si="4"/>
        <v>17190163124</v>
      </c>
      <c r="G15" s="22">
        <f t="shared" si="4"/>
        <v>15696535813</v>
      </c>
      <c r="H15" s="21">
        <f t="shared" si="4"/>
        <v>26901273588</v>
      </c>
      <c r="I15" s="22">
        <f t="shared" si="4"/>
        <v>20308084397</v>
      </c>
      <c r="J15" s="21">
        <f t="shared" si="4"/>
        <v>22890962491</v>
      </c>
      <c r="K15" s="56">
        <f t="shared" si="4"/>
        <v>17760299751</v>
      </c>
      <c r="L15" s="57">
        <f t="shared" si="4"/>
        <v>19457650439</v>
      </c>
      <c r="M15" s="22">
        <f t="shared" si="4"/>
        <v>13309715362</v>
      </c>
    </row>
    <row r="16" spans="1:13" ht="15.75" customHeight="1" outlineLevel="1" x14ac:dyDescent="0.2">
      <c r="A16" s="18" t="s">
        <v>15</v>
      </c>
      <c r="B16" s="23">
        <v>2815512755</v>
      </c>
      <c r="C16" s="24">
        <v>2700148570</v>
      </c>
      <c r="D16" s="23">
        <v>2559729121</v>
      </c>
      <c r="E16" s="24">
        <v>2327085342</v>
      </c>
      <c r="F16" s="23">
        <v>2193584613</v>
      </c>
      <c r="G16" s="24">
        <v>1922493274</v>
      </c>
      <c r="H16" s="23">
        <v>7772518820</v>
      </c>
      <c r="I16" s="24">
        <v>4469933081</v>
      </c>
      <c r="J16" s="23">
        <v>5720356608</v>
      </c>
      <c r="K16" s="58">
        <v>4690129092</v>
      </c>
      <c r="L16" s="59">
        <v>2121312434</v>
      </c>
      <c r="M16" s="24">
        <v>1729273760</v>
      </c>
    </row>
    <row r="17" spans="1:13" ht="15.75" customHeight="1" outlineLevel="1" x14ac:dyDescent="0.2">
      <c r="A17" s="18" t="s">
        <v>16</v>
      </c>
      <c r="B17" s="23">
        <v>11780780551</v>
      </c>
      <c r="C17" s="24">
        <v>11710273610</v>
      </c>
      <c r="D17" s="23">
        <v>13785125653</v>
      </c>
      <c r="E17" s="24">
        <v>12641134698</v>
      </c>
      <c r="F17" s="23">
        <v>13912993728</v>
      </c>
      <c r="G17" s="24">
        <v>12778590431</v>
      </c>
      <c r="H17" s="23">
        <v>18248676568</v>
      </c>
      <c r="I17" s="24">
        <v>15031795809</v>
      </c>
      <c r="J17" s="23">
        <v>16438678663</v>
      </c>
      <c r="K17" s="58">
        <v>12430782697</v>
      </c>
      <c r="L17" s="59">
        <v>17133286229</v>
      </c>
      <c r="M17" s="24">
        <v>11431762539</v>
      </c>
    </row>
    <row r="18" spans="1:13" ht="15.75" customHeight="1" outlineLevel="1" x14ac:dyDescent="0.2">
      <c r="A18" s="18" t="s">
        <v>17</v>
      </c>
      <c r="B18" s="23">
        <v>57778162</v>
      </c>
      <c r="C18" s="24">
        <v>54745218</v>
      </c>
      <c r="D18" s="23">
        <v>77298794</v>
      </c>
      <c r="E18" s="24">
        <v>71401279</v>
      </c>
      <c r="F18" s="23">
        <v>105980576</v>
      </c>
      <c r="G18" s="24">
        <v>99375008</v>
      </c>
      <c r="H18" s="23">
        <v>103681000</v>
      </c>
      <c r="I18" s="24">
        <v>65755483</v>
      </c>
      <c r="J18" s="23">
        <v>114079000</v>
      </c>
      <c r="K18" s="58">
        <v>97974192</v>
      </c>
      <c r="L18" s="59">
        <v>101511000</v>
      </c>
      <c r="M18" s="24">
        <v>49721263</v>
      </c>
    </row>
    <row r="19" spans="1:13" ht="15.75" customHeight="1" outlineLevel="1" x14ac:dyDescent="0.2">
      <c r="A19" s="18" t="s">
        <v>18</v>
      </c>
      <c r="B19" s="23">
        <v>18532300</v>
      </c>
      <c r="C19" s="24">
        <v>18532300</v>
      </c>
      <c r="D19" s="23">
        <v>223330480</v>
      </c>
      <c r="E19" s="24">
        <v>208429500</v>
      </c>
      <c r="F19" s="23">
        <v>963192207</v>
      </c>
      <c r="G19" s="24">
        <v>885507100</v>
      </c>
      <c r="H19" s="23">
        <v>753985200</v>
      </c>
      <c r="I19" s="24">
        <v>723446796</v>
      </c>
      <c r="J19" s="23">
        <v>592848220</v>
      </c>
      <c r="K19" s="58">
        <v>541413770</v>
      </c>
      <c r="L19" s="59">
        <v>101540776</v>
      </c>
      <c r="M19" s="24">
        <v>98957800</v>
      </c>
    </row>
    <row r="20" spans="1:13" ht="15.75" customHeight="1" outlineLevel="1" x14ac:dyDescent="0.2">
      <c r="A20" s="18" t="s">
        <v>19</v>
      </c>
      <c r="B20" s="23">
        <v>24899200</v>
      </c>
      <c r="C20" s="24">
        <v>24899200</v>
      </c>
      <c r="D20" s="23">
        <v>37107137</v>
      </c>
      <c r="E20" s="24">
        <v>37107137</v>
      </c>
      <c r="F20" s="23">
        <v>14412000</v>
      </c>
      <c r="G20" s="24">
        <v>10570000</v>
      </c>
      <c r="H20" s="23">
        <v>22412000</v>
      </c>
      <c r="I20" s="24">
        <v>17153228</v>
      </c>
      <c r="J20" s="23">
        <v>25000000</v>
      </c>
      <c r="K20" s="58">
        <v>0</v>
      </c>
      <c r="L20" s="59"/>
      <c r="M20" s="24"/>
    </row>
    <row r="21" spans="1:13" ht="15.75" customHeight="1" x14ac:dyDescent="0.2">
      <c r="A21" s="1" t="s">
        <v>20</v>
      </c>
      <c r="B21" s="21">
        <f t="shared" ref="B21:M21" si="5">SUM(B22:B29)</f>
        <v>5646850870</v>
      </c>
      <c r="C21" s="22">
        <f t="shared" si="5"/>
        <v>5646850870</v>
      </c>
      <c r="D21" s="21">
        <f t="shared" si="5"/>
        <v>8647064611</v>
      </c>
      <c r="E21" s="22">
        <f t="shared" si="5"/>
        <v>7688416004</v>
      </c>
      <c r="F21" s="21">
        <f t="shared" si="5"/>
        <v>8843397203</v>
      </c>
      <c r="G21" s="22">
        <f t="shared" si="5"/>
        <v>8134204900</v>
      </c>
      <c r="H21" s="21">
        <f t="shared" si="5"/>
        <v>10303208464</v>
      </c>
      <c r="I21" s="22">
        <f t="shared" si="5"/>
        <v>8674324317</v>
      </c>
      <c r="J21" s="21">
        <f t="shared" si="5"/>
        <v>9063123639</v>
      </c>
      <c r="K21" s="56">
        <f t="shared" si="5"/>
        <v>8948182923</v>
      </c>
      <c r="L21" s="57">
        <f t="shared" si="5"/>
        <v>8542579330</v>
      </c>
      <c r="M21" s="22">
        <f t="shared" si="5"/>
        <v>7949452376</v>
      </c>
    </row>
    <row r="22" spans="1:13" ht="15.75" customHeight="1" outlineLevel="1" x14ac:dyDescent="0.2">
      <c r="A22" s="18" t="s">
        <v>21</v>
      </c>
      <c r="B22" s="23">
        <v>998469863</v>
      </c>
      <c r="C22" s="24">
        <v>998469863</v>
      </c>
      <c r="D22" s="23">
        <v>1084899385</v>
      </c>
      <c r="E22" s="24">
        <v>1084899382</v>
      </c>
      <c r="F22" s="23">
        <v>1375870847</v>
      </c>
      <c r="G22" s="24">
        <v>1375440799</v>
      </c>
      <c r="H22" s="23">
        <v>1421080637</v>
      </c>
      <c r="I22" s="24">
        <v>3747025</v>
      </c>
      <c r="J22" s="23">
        <v>2524537892</v>
      </c>
      <c r="K22" s="24">
        <v>2524225741</v>
      </c>
      <c r="L22" s="23">
        <v>1660853220</v>
      </c>
      <c r="M22" s="24">
        <v>1660836655</v>
      </c>
    </row>
    <row r="23" spans="1:13" ht="15.75" customHeight="1" outlineLevel="1" x14ac:dyDescent="0.2">
      <c r="A23" s="18" t="s">
        <v>22</v>
      </c>
      <c r="B23" s="23">
        <v>9690965</v>
      </c>
      <c r="C23" s="24">
        <v>9690965</v>
      </c>
      <c r="D23" s="23"/>
      <c r="E23" s="24"/>
      <c r="F23" s="23"/>
      <c r="G23" s="24"/>
      <c r="H23" s="23">
        <v>2375204090</v>
      </c>
      <c r="I23" s="24">
        <v>2294318962</v>
      </c>
      <c r="J23" s="23"/>
      <c r="K23" s="24"/>
      <c r="L23" s="23"/>
      <c r="M23" s="24"/>
    </row>
    <row r="24" spans="1:13" ht="15.75" customHeight="1" outlineLevel="1" x14ac:dyDescent="0.2">
      <c r="A24" s="18" t="s">
        <v>23</v>
      </c>
      <c r="B24" s="23">
        <v>4585172364</v>
      </c>
      <c r="C24" s="24">
        <v>4585172364</v>
      </c>
      <c r="D24" s="23">
        <v>5938482526</v>
      </c>
      <c r="E24" s="24">
        <v>5843312329</v>
      </c>
      <c r="F24" s="23">
        <v>6002295341</v>
      </c>
      <c r="G24" s="24">
        <v>6001747217</v>
      </c>
      <c r="H24" s="23">
        <v>6254272188</v>
      </c>
      <c r="I24" s="24">
        <v>6191576970</v>
      </c>
      <c r="J24" s="23">
        <v>6349686627</v>
      </c>
      <c r="K24" s="24">
        <v>6270866781</v>
      </c>
      <c r="L24" s="23">
        <v>6345578510</v>
      </c>
      <c r="M24" s="24">
        <v>6168634482</v>
      </c>
    </row>
    <row r="25" spans="1:13" ht="15.75" customHeight="1" outlineLevel="1" x14ac:dyDescent="0.2">
      <c r="A25" s="18" t="s">
        <v>24</v>
      </c>
      <c r="B25" s="23">
        <v>52714478</v>
      </c>
      <c r="C25" s="24">
        <v>52714478</v>
      </c>
      <c r="D25" s="23">
        <v>636368178</v>
      </c>
      <c r="E25" s="24">
        <v>591849625</v>
      </c>
      <c r="F25" s="23">
        <v>64355315</v>
      </c>
      <c r="G25" s="24">
        <v>64355315</v>
      </c>
      <c r="H25" s="23">
        <v>12008000</v>
      </c>
      <c r="I25" s="24">
        <v>2000000</v>
      </c>
      <c r="J25" s="23">
        <v>153130560</v>
      </c>
      <c r="K25" s="24">
        <v>153090401</v>
      </c>
      <c r="L25" s="23">
        <v>120300000</v>
      </c>
      <c r="M25" s="24">
        <v>119979839</v>
      </c>
    </row>
    <row r="26" spans="1:13" ht="15.75" customHeight="1" outlineLevel="1" x14ac:dyDescent="0.2">
      <c r="A26" s="18" t="s">
        <v>25</v>
      </c>
      <c r="B26" s="23">
        <v>803200</v>
      </c>
      <c r="C26" s="24">
        <v>803200</v>
      </c>
      <c r="D26" s="23">
        <v>784594294</v>
      </c>
      <c r="E26" s="24">
        <v>168354668</v>
      </c>
      <c r="F26" s="23">
        <v>674495700</v>
      </c>
      <c r="G26" s="24">
        <v>845329</v>
      </c>
      <c r="H26" s="23">
        <v>6684200</v>
      </c>
      <c r="I26" s="24">
        <v>728262</v>
      </c>
      <c r="J26" s="23">
        <v>1204800</v>
      </c>
      <c r="K26" s="24">
        <v>0</v>
      </c>
      <c r="L26" s="23">
        <v>963840</v>
      </c>
      <c r="M26" s="24">
        <v>1400</v>
      </c>
    </row>
    <row r="27" spans="1:13" ht="15.75" customHeight="1" outlineLevel="1" x14ac:dyDescent="0.2">
      <c r="A27" s="18" t="s">
        <v>26</v>
      </c>
      <c r="B27" s="23"/>
      <c r="C27" s="24"/>
      <c r="D27" s="23">
        <v>202720228</v>
      </c>
      <c r="E27" s="24">
        <v>0</v>
      </c>
      <c r="F27" s="23">
        <v>726380000</v>
      </c>
      <c r="G27" s="24">
        <v>691816240</v>
      </c>
      <c r="H27" s="23">
        <v>170959349</v>
      </c>
      <c r="I27" s="24">
        <v>119074393</v>
      </c>
      <c r="J27" s="23">
        <v>34563760</v>
      </c>
      <c r="K27" s="24">
        <v>0</v>
      </c>
      <c r="L27" s="23">
        <v>334563760</v>
      </c>
      <c r="M27" s="24">
        <v>0</v>
      </c>
    </row>
    <row r="28" spans="1:13" ht="15.75" customHeight="1" outlineLevel="1" x14ac:dyDescent="0.2">
      <c r="A28" s="18" t="s">
        <v>27</v>
      </c>
      <c r="B28" s="23"/>
      <c r="C28" s="24"/>
      <c r="D28" s="23"/>
      <c r="E28" s="24"/>
      <c r="F28" s="23"/>
      <c r="G28" s="24"/>
      <c r="H28" s="23">
        <v>63000000</v>
      </c>
      <c r="I28" s="24">
        <v>62878705</v>
      </c>
      <c r="J28" s="23"/>
      <c r="K28" s="24"/>
      <c r="L28" s="23"/>
      <c r="M28" s="24"/>
    </row>
    <row r="29" spans="1:13" ht="15.75" customHeight="1" outlineLevel="1" x14ac:dyDescent="0.2">
      <c r="A29" s="18" t="s">
        <v>28</v>
      </c>
      <c r="B29" s="23"/>
      <c r="C29" s="24"/>
      <c r="D29" s="23"/>
      <c r="E29" s="24"/>
      <c r="F29" s="23"/>
      <c r="G29" s="24"/>
      <c r="H29" s="23"/>
      <c r="I29" s="24"/>
      <c r="J29" s="23"/>
      <c r="K29" s="24"/>
      <c r="L29" s="23">
        <v>80320000</v>
      </c>
      <c r="M29" s="24">
        <v>0</v>
      </c>
    </row>
    <row r="30" spans="1:13" ht="15.75" customHeight="1" x14ac:dyDescent="0.2">
      <c r="A30" s="1" t="s">
        <v>29</v>
      </c>
      <c r="B30" s="21">
        <v>38042129</v>
      </c>
      <c r="C30" s="22">
        <v>38042129</v>
      </c>
      <c r="D30" s="21"/>
      <c r="E30" s="22"/>
      <c r="F30" s="21"/>
      <c r="G30" s="22"/>
      <c r="H30" s="21">
        <v>3899215</v>
      </c>
      <c r="I30" s="22">
        <v>3899215</v>
      </c>
      <c r="J30" s="21"/>
      <c r="K30" s="22"/>
      <c r="L30" s="21">
        <v>60619620</v>
      </c>
      <c r="M30" s="22">
        <v>60619619</v>
      </c>
    </row>
    <row r="31" spans="1:13" ht="15.75" customHeight="1" x14ac:dyDescent="0.2">
      <c r="A31" s="1" t="s">
        <v>30</v>
      </c>
      <c r="B31" s="25"/>
      <c r="C31" s="26"/>
      <c r="D31" s="25">
        <v>2145037439</v>
      </c>
      <c r="E31" s="26">
        <v>0</v>
      </c>
      <c r="F31" s="25">
        <v>421499352</v>
      </c>
      <c r="G31" s="26">
        <v>0</v>
      </c>
      <c r="H31" s="25">
        <v>780875925</v>
      </c>
      <c r="I31" s="26">
        <v>0</v>
      </c>
      <c r="J31" s="25">
        <v>8409029375</v>
      </c>
      <c r="K31" s="26">
        <v>0</v>
      </c>
      <c r="L31" s="25"/>
      <c r="M31" s="26"/>
    </row>
    <row r="32" spans="1:13" ht="15.75" customHeight="1" x14ac:dyDescent="0.2">
      <c r="A32" s="27" t="s">
        <v>31</v>
      </c>
      <c r="B32" s="13">
        <f t="shared" ref="B32:M32" si="6">+B33+B41+B50+B55+B62+B68+B77+B83+B89+B94+B99+B103+B104</f>
        <v>58451085081</v>
      </c>
      <c r="C32" s="28">
        <f t="shared" si="6"/>
        <v>33240201083</v>
      </c>
      <c r="D32" s="13">
        <f t="shared" si="6"/>
        <v>62738607370</v>
      </c>
      <c r="E32" s="28">
        <f t="shared" si="6"/>
        <v>41083997962</v>
      </c>
      <c r="F32" s="13">
        <f t="shared" si="6"/>
        <v>42420125022</v>
      </c>
      <c r="G32" s="28">
        <f t="shared" si="6"/>
        <v>29482123670</v>
      </c>
      <c r="H32" s="13">
        <f t="shared" si="6"/>
        <v>70513793451</v>
      </c>
      <c r="I32" s="28">
        <f t="shared" si="6"/>
        <v>8293035452</v>
      </c>
      <c r="J32" s="13">
        <f t="shared" si="6"/>
        <v>43812144861</v>
      </c>
      <c r="K32" s="28">
        <f t="shared" si="6"/>
        <v>26435216038</v>
      </c>
      <c r="L32" s="13">
        <f t="shared" si="6"/>
        <v>60721667109</v>
      </c>
      <c r="M32" s="28">
        <f t="shared" si="6"/>
        <v>33764042758</v>
      </c>
    </row>
    <row r="33" spans="1:13" ht="15.75" customHeight="1" x14ac:dyDescent="0.2">
      <c r="A33" s="1" t="s">
        <v>32</v>
      </c>
      <c r="B33" s="29">
        <f t="shared" ref="B33:M33" si="7">SUM(B34:B40)</f>
        <v>3356197081</v>
      </c>
      <c r="C33" s="3">
        <f t="shared" si="7"/>
        <v>2026094696</v>
      </c>
      <c r="D33" s="29">
        <f t="shared" si="7"/>
        <v>6099921587</v>
      </c>
      <c r="E33" s="3">
        <f t="shared" si="7"/>
        <v>5566306916</v>
      </c>
      <c r="F33" s="29">
        <f t="shared" si="7"/>
        <v>2879120528</v>
      </c>
      <c r="G33" s="3">
        <f t="shared" si="7"/>
        <v>2675452443</v>
      </c>
      <c r="H33" s="29">
        <f t="shared" si="7"/>
        <v>2533382243</v>
      </c>
      <c r="I33" s="3">
        <f t="shared" si="7"/>
        <v>2214183315</v>
      </c>
      <c r="J33" s="29">
        <f t="shared" si="7"/>
        <v>7262202695</v>
      </c>
      <c r="K33" s="3">
        <f t="shared" si="7"/>
        <v>4956130917</v>
      </c>
      <c r="L33" s="29">
        <f t="shared" si="7"/>
        <v>6419615436</v>
      </c>
      <c r="M33" s="3">
        <f t="shared" si="7"/>
        <v>4976047444</v>
      </c>
    </row>
    <row r="34" spans="1:13" ht="15.75" customHeight="1" outlineLevel="1" x14ac:dyDescent="0.2">
      <c r="A34" s="18" t="s">
        <v>8</v>
      </c>
      <c r="B34" s="30">
        <v>1029435489</v>
      </c>
      <c r="C34" s="31">
        <v>921285492</v>
      </c>
      <c r="D34" s="30">
        <v>2287540980</v>
      </c>
      <c r="E34" s="31">
        <v>2246154277</v>
      </c>
      <c r="F34" s="30">
        <v>1490364032</v>
      </c>
      <c r="G34" s="31">
        <v>1449183244</v>
      </c>
      <c r="H34" s="30">
        <v>731372295</v>
      </c>
      <c r="I34" s="31">
        <v>594907059</v>
      </c>
      <c r="J34" s="30">
        <v>2294822684</v>
      </c>
      <c r="K34" s="31">
        <v>2189931526</v>
      </c>
      <c r="L34" s="30">
        <v>3027894743</v>
      </c>
      <c r="M34" s="31">
        <v>2204597947</v>
      </c>
    </row>
    <row r="35" spans="1:13" ht="15.75" customHeight="1" outlineLevel="1" x14ac:dyDescent="0.2">
      <c r="A35" s="18" t="s">
        <v>15</v>
      </c>
      <c r="B35" s="30">
        <v>295782408</v>
      </c>
      <c r="C35" s="31">
        <v>280251001</v>
      </c>
      <c r="D35" s="30">
        <v>922985300</v>
      </c>
      <c r="E35" s="31">
        <v>627158174</v>
      </c>
      <c r="F35" s="30">
        <v>283794340</v>
      </c>
      <c r="G35" s="31">
        <v>280800275</v>
      </c>
      <c r="H35" s="30">
        <v>12300000</v>
      </c>
      <c r="I35" s="31">
        <v>4260393</v>
      </c>
      <c r="J35" s="30">
        <v>243543121</v>
      </c>
      <c r="K35" s="31">
        <v>210498588</v>
      </c>
      <c r="L35" s="30">
        <v>240554320</v>
      </c>
      <c r="M35" s="31">
        <v>210675500</v>
      </c>
    </row>
    <row r="36" spans="1:13" ht="15.75" customHeight="1" outlineLevel="1" x14ac:dyDescent="0.2">
      <c r="A36" s="18" t="s">
        <v>16</v>
      </c>
      <c r="B36" s="30">
        <v>881653475</v>
      </c>
      <c r="C36" s="31">
        <v>749558203</v>
      </c>
      <c r="D36" s="30">
        <v>2824210039</v>
      </c>
      <c r="E36" s="31">
        <v>2642994465</v>
      </c>
      <c r="F36" s="30">
        <v>1039776888</v>
      </c>
      <c r="G36" s="31">
        <v>895468924</v>
      </c>
      <c r="H36" s="30">
        <v>626147000</v>
      </c>
      <c r="I36" s="31">
        <v>535815865</v>
      </c>
      <c r="J36" s="30">
        <v>1382097976</v>
      </c>
      <c r="K36" s="31">
        <v>985315927</v>
      </c>
      <c r="L36" s="30">
        <v>922692302</v>
      </c>
      <c r="M36" s="31">
        <v>423309948</v>
      </c>
    </row>
    <row r="37" spans="1:13" ht="15.75" customHeight="1" outlineLevel="1" x14ac:dyDescent="0.2">
      <c r="A37" s="18" t="s">
        <v>33</v>
      </c>
      <c r="B37" s="30">
        <v>1074325709</v>
      </c>
      <c r="C37" s="31">
        <v>0</v>
      </c>
      <c r="D37" s="30">
        <v>15185268</v>
      </c>
      <c r="E37" s="31">
        <v>0</v>
      </c>
      <c r="F37" s="30">
        <v>15185268</v>
      </c>
      <c r="G37" s="31">
        <v>0</v>
      </c>
      <c r="H37" s="30">
        <v>11000000</v>
      </c>
      <c r="I37" s="31">
        <v>0</v>
      </c>
      <c r="J37" s="30">
        <v>1489277868</v>
      </c>
      <c r="K37" s="31">
        <v>0</v>
      </c>
      <c r="L37" s="30"/>
      <c r="M37" s="31"/>
    </row>
    <row r="38" spans="1:13" ht="15.75" customHeight="1" outlineLevel="1" x14ac:dyDescent="0.2">
      <c r="A38" s="18" t="s">
        <v>34</v>
      </c>
      <c r="B38" s="30">
        <v>75000000</v>
      </c>
      <c r="C38" s="31">
        <v>75000000</v>
      </c>
      <c r="D38" s="30">
        <v>50000000</v>
      </c>
      <c r="E38" s="31">
        <v>50000000</v>
      </c>
      <c r="F38" s="30">
        <v>50000000</v>
      </c>
      <c r="G38" s="31">
        <v>50000000</v>
      </c>
      <c r="H38" s="30">
        <v>1090562948</v>
      </c>
      <c r="I38" s="31">
        <v>1017200000</v>
      </c>
      <c r="J38" s="30">
        <v>1776961046</v>
      </c>
      <c r="K38" s="31">
        <v>1495384878</v>
      </c>
      <c r="L38" s="30">
        <v>2129331071</v>
      </c>
      <c r="M38" s="31">
        <v>2063609250</v>
      </c>
    </row>
    <row r="39" spans="1:13" ht="15.75" customHeight="1" outlineLevel="1" x14ac:dyDescent="0.2">
      <c r="A39" s="18" t="s">
        <v>26</v>
      </c>
      <c r="B39" s="30"/>
      <c r="C39" s="31"/>
      <c r="D39" s="30"/>
      <c r="E39" s="31"/>
      <c r="F39" s="30"/>
      <c r="G39" s="31"/>
      <c r="H39" s="30">
        <v>62000000</v>
      </c>
      <c r="I39" s="31">
        <v>61999998</v>
      </c>
      <c r="J39" s="30">
        <v>75500000</v>
      </c>
      <c r="K39" s="31">
        <v>74999998</v>
      </c>
      <c r="L39" s="30">
        <v>66300000</v>
      </c>
      <c r="M39" s="31">
        <v>64999999</v>
      </c>
    </row>
    <row r="40" spans="1:13" ht="15.75" customHeight="1" outlineLevel="1" x14ac:dyDescent="0.2">
      <c r="A40" s="18" t="s">
        <v>18</v>
      </c>
      <c r="B40" s="30"/>
      <c r="C40" s="31"/>
      <c r="D40" s="30"/>
      <c r="E40" s="31"/>
      <c r="F40" s="30"/>
      <c r="G40" s="31"/>
      <c r="H40" s="30"/>
      <c r="I40" s="31"/>
      <c r="J40" s="30"/>
      <c r="K40" s="31"/>
      <c r="L40" s="30">
        <v>32843000</v>
      </c>
      <c r="M40" s="31">
        <v>8854800</v>
      </c>
    </row>
    <row r="41" spans="1:13" ht="15.75" customHeight="1" x14ac:dyDescent="0.2">
      <c r="A41" s="1" t="s">
        <v>35</v>
      </c>
      <c r="B41" s="29">
        <f t="shared" ref="B41:M41" si="8">SUM(B42:B49)</f>
        <v>18940117883</v>
      </c>
      <c r="C41" s="3">
        <f t="shared" si="8"/>
        <v>7640638766</v>
      </c>
      <c r="D41" s="29">
        <f t="shared" si="8"/>
        <v>22227821067</v>
      </c>
      <c r="E41" s="3">
        <f t="shared" si="8"/>
        <v>15234224672</v>
      </c>
      <c r="F41" s="29">
        <f t="shared" si="8"/>
        <v>18170811043</v>
      </c>
      <c r="G41" s="3">
        <f t="shared" si="8"/>
        <v>10119076783</v>
      </c>
      <c r="H41" s="29">
        <f t="shared" si="8"/>
        <v>19173922872</v>
      </c>
      <c r="I41" s="3">
        <f t="shared" si="8"/>
        <v>4398968575</v>
      </c>
      <c r="J41" s="29">
        <f t="shared" si="8"/>
        <v>20682401621</v>
      </c>
      <c r="K41" s="3">
        <f t="shared" si="8"/>
        <v>9350113697</v>
      </c>
      <c r="L41" s="29">
        <f t="shared" si="8"/>
        <v>18003882469</v>
      </c>
      <c r="M41" s="3">
        <f t="shared" si="8"/>
        <v>11399231141</v>
      </c>
    </row>
    <row r="42" spans="1:13" ht="15.75" customHeight="1" outlineLevel="1" x14ac:dyDescent="0.2">
      <c r="A42" s="18" t="s">
        <v>8</v>
      </c>
      <c r="B42" s="30">
        <v>5289102336</v>
      </c>
      <c r="C42" s="31">
        <v>4640990536</v>
      </c>
      <c r="D42" s="30">
        <v>10163226730</v>
      </c>
      <c r="E42" s="31">
        <v>9470771918</v>
      </c>
      <c r="F42" s="30">
        <v>7935637418</v>
      </c>
      <c r="G42" s="31">
        <v>5323652019</v>
      </c>
      <c r="H42" s="30">
        <v>2982557576</v>
      </c>
      <c r="I42" s="31">
        <v>2105423343</v>
      </c>
      <c r="J42" s="30">
        <v>14656044348</v>
      </c>
      <c r="K42" s="31">
        <v>7745240911</v>
      </c>
      <c r="L42" s="30">
        <v>11064083998</v>
      </c>
      <c r="M42" s="31">
        <v>9043380535</v>
      </c>
    </row>
    <row r="43" spans="1:13" ht="15.75" customHeight="1" outlineLevel="1" x14ac:dyDescent="0.2">
      <c r="A43" s="18" t="s">
        <v>15</v>
      </c>
      <c r="B43" s="30">
        <v>2246020588</v>
      </c>
      <c r="C43" s="31">
        <v>1500262269</v>
      </c>
      <c r="D43" s="30">
        <v>3774202092</v>
      </c>
      <c r="E43" s="31">
        <v>2539869428</v>
      </c>
      <c r="F43" s="30">
        <v>2580303822</v>
      </c>
      <c r="G43" s="31">
        <v>1717384911</v>
      </c>
      <c r="H43" s="30">
        <v>204518507</v>
      </c>
      <c r="I43" s="31">
        <v>95722791</v>
      </c>
      <c r="J43" s="30">
        <v>769319190</v>
      </c>
      <c r="K43" s="31">
        <v>600535541</v>
      </c>
      <c r="L43" s="30">
        <v>738041271</v>
      </c>
      <c r="M43" s="31">
        <v>350291295</v>
      </c>
    </row>
    <row r="44" spans="1:13" ht="15.75" customHeight="1" outlineLevel="1" x14ac:dyDescent="0.2">
      <c r="A44" s="18" t="s">
        <v>16</v>
      </c>
      <c r="B44" s="30">
        <v>1749108815</v>
      </c>
      <c r="C44" s="31">
        <v>1034837742</v>
      </c>
      <c r="D44" s="30">
        <v>2455669393</v>
      </c>
      <c r="E44" s="31">
        <v>2005285705</v>
      </c>
      <c r="F44" s="30">
        <v>3676613384</v>
      </c>
      <c r="G44" s="31">
        <v>2735357658</v>
      </c>
      <c r="H44" s="30">
        <v>1631022043</v>
      </c>
      <c r="I44" s="31">
        <v>624786549</v>
      </c>
      <c r="J44" s="30">
        <v>2672912767</v>
      </c>
      <c r="K44" s="31">
        <v>747509187</v>
      </c>
      <c r="L44" s="30">
        <v>1602963100</v>
      </c>
      <c r="M44" s="31">
        <v>1084180010</v>
      </c>
    </row>
    <row r="45" spans="1:13" ht="15.75" customHeight="1" outlineLevel="1" x14ac:dyDescent="0.2">
      <c r="A45" s="18" t="s">
        <v>18</v>
      </c>
      <c r="B45" s="30">
        <v>54000000</v>
      </c>
      <c r="C45" s="31">
        <v>40840000</v>
      </c>
      <c r="D45" s="30">
        <v>1048690000</v>
      </c>
      <c r="E45" s="31">
        <v>1035739943</v>
      </c>
      <c r="F45" s="30">
        <v>27068480</v>
      </c>
      <c r="G45" s="31">
        <v>18989395</v>
      </c>
      <c r="H45" s="30">
        <v>120000000</v>
      </c>
      <c r="I45" s="31">
        <v>30000000</v>
      </c>
      <c r="J45" s="30">
        <v>70000000</v>
      </c>
      <c r="K45" s="31">
        <v>70000000</v>
      </c>
      <c r="L45" s="30">
        <v>685069719</v>
      </c>
      <c r="M45" s="31">
        <v>502447114</v>
      </c>
    </row>
    <row r="46" spans="1:13" ht="15.75" customHeight="1" outlineLevel="1" x14ac:dyDescent="0.2">
      <c r="A46" s="18" t="s">
        <v>34</v>
      </c>
      <c r="B46" s="30">
        <v>880799620</v>
      </c>
      <c r="C46" s="31">
        <v>423708219</v>
      </c>
      <c r="D46" s="30">
        <v>1640947713</v>
      </c>
      <c r="E46" s="31">
        <v>182557678</v>
      </c>
      <c r="F46" s="30">
        <v>1274800000</v>
      </c>
      <c r="G46" s="31">
        <v>323692800</v>
      </c>
      <c r="H46" s="30">
        <v>591099120</v>
      </c>
      <c r="I46" s="31">
        <v>415480000</v>
      </c>
      <c r="J46" s="30">
        <v>1226363632</v>
      </c>
      <c r="K46" s="31">
        <v>146415900</v>
      </c>
      <c r="L46" s="30">
        <v>1213376383</v>
      </c>
      <c r="M46" s="31">
        <v>381927187</v>
      </c>
    </row>
    <row r="47" spans="1:13" ht="15.75" customHeight="1" outlineLevel="1" x14ac:dyDescent="0.2">
      <c r="A47" s="18" t="s">
        <v>36</v>
      </c>
      <c r="B47" s="30">
        <v>8721086524</v>
      </c>
      <c r="C47" s="31">
        <v>0</v>
      </c>
      <c r="D47" s="30">
        <v>3145085139</v>
      </c>
      <c r="E47" s="31">
        <v>0</v>
      </c>
      <c r="F47" s="30">
        <v>2676387939</v>
      </c>
      <c r="G47" s="31">
        <v>0</v>
      </c>
      <c r="H47" s="30">
        <v>12457670686</v>
      </c>
      <c r="I47" s="31">
        <v>0</v>
      </c>
      <c r="J47" s="30">
        <v>1247335684</v>
      </c>
      <c r="K47" s="31">
        <v>0</v>
      </c>
      <c r="L47" s="30">
        <v>2661342998</v>
      </c>
      <c r="M47" s="31">
        <v>0</v>
      </c>
    </row>
    <row r="48" spans="1:13" ht="15.75" customHeight="1" outlineLevel="1" x14ac:dyDescent="0.2">
      <c r="A48" s="18" t="s">
        <v>37</v>
      </c>
      <c r="B48" s="30"/>
      <c r="C48" s="31"/>
      <c r="D48" s="30"/>
      <c r="E48" s="31"/>
      <c r="F48" s="30"/>
      <c r="G48" s="31"/>
      <c r="H48" s="30">
        <v>1187054940</v>
      </c>
      <c r="I48" s="31">
        <v>1127555892</v>
      </c>
      <c r="J48" s="30">
        <v>40426000</v>
      </c>
      <c r="K48" s="31">
        <v>40412158</v>
      </c>
      <c r="L48" s="30">
        <v>37005000</v>
      </c>
      <c r="M48" s="31">
        <v>37005000</v>
      </c>
    </row>
    <row r="49" spans="1:13" ht="15.75" customHeight="1" outlineLevel="1" x14ac:dyDescent="0.2">
      <c r="A49" s="18" t="s">
        <v>38</v>
      </c>
      <c r="B49" s="30"/>
      <c r="C49" s="31"/>
      <c r="D49" s="30"/>
      <c r="E49" s="31"/>
      <c r="F49" s="30"/>
      <c r="G49" s="31"/>
      <c r="H49" s="30"/>
      <c r="I49" s="31"/>
      <c r="J49" s="30"/>
      <c r="K49" s="31"/>
      <c r="L49" s="30">
        <v>2000000</v>
      </c>
      <c r="M49" s="31">
        <v>0</v>
      </c>
    </row>
    <row r="50" spans="1:13" ht="15.75" customHeight="1" x14ac:dyDescent="0.2">
      <c r="A50" s="1" t="s">
        <v>39</v>
      </c>
      <c r="B50" s="29">
        <f t="shared" ref="B50:G50" si="9">SUM(B51:B54)</f>
        <v>301187000</v>
      </c>
      <c r="C50" s="3">
        <f t="shared" si="9"/>
        <v>297087378</v>
      </c>
      <c r="D50" s="29">
        <f t="shared" si="9"/>
        <v>309197447</v>
      </c>
      <c r="E50" s="3">
        <f t="shared" si="9"/>
        <v>546500</v>
      </c>
      <c r="F50" s="29">
        <f t="shared" si="9"/>
        <v>266360738</v>
      </c>
      <c r="G50" s="3">
        <f t="shared" si="9"/>
        <v>238267697</v>
      </c>
      <c r="H50" s="29"/>
      <c r="I50" s="3"/>
      <c r="J50" s="29"/>
      <c r="K50" s="3"/>
      <c r="L50" s="29"/>
      <c r="M50" s="3"/>
    </row>
    <row r="51" spans="1:13" ht="15.75" customHeight="1" outlineLevel="1" x14ac:dyDescent="0.2">
      <c r="A51" s="18" t="s">
        <v>8</v>
      </c>
      <c r="B51" s="30">
        <v>21032800</v>
      </c>
      <c r="C51" s="31">
        <v>19300000</v>
      </c>
      <c r="D51" s="30">
        <v>546500</v>
      </c>
      <c r="E51" s="31">
        <v>546500</v>
      </c>
      <c r="F51" s="30">
        <v>59092000</v>
      </c>
      <c r="G51" s="31">
        <v>50080799</v>
      </c>
      <c r="H51" s="30"/>
      <c r="I51" s="31"/>
      <c r="J51" s="30"/>
      <c r="K51" s="31"/>
      <c r="L51" s="30"/>
      <c r="M51" s="31"/>
    </row>
    <row r="52" spans="1:13" ht="15.75" customHeight="1" outlineLevel="1" x14ac:dyDescent="0.2">
      <c r="A52" s="18" t="s">
        <v>15</v>
      </c>
      <c r="B52" s="30">
        <v>280154200</v>
      </c>
      <c r="C52" s="31">
        <v>277787378</v>
      </c>
      <c r="D52" s="30"/>
      <c r="E52" s="31"/>
      <c r="F52" s="30">
        <v>166095132</v>
      </c>
      <c r="G52" s="31">
        <v>154644455</v>
      </c>
      <c r="H52" s="30"/>
      <c r="I52" s="31"/>
      <c r="J52" s="30"/>
      <c r="K52" s="31"/>
      <c r="L52" s="30"/>
      <c r="M52" s="31"/>
    </row>
    <row r="53" spans="1:13" ht="15.75" customHeight="1" outlineLevel="1" x14ac:dyDescent="0.2">
      <c r="A53" s="18" t="s">
        <v>40</v>
      </c>
      <c r="B53" s="30"/>
      <c r="C53" s="31"/>
      <c r="D53" s="30">
        <v>308650947</v>
      </c>
      <c r="E53" s="31">
        <v>0</v>
      </c>
      <c r="F53" s="30"/>
      <c r="G53" s="31"/>
      <c r="H53" s="30"/>
      <c r="I53" s="31"/>
      <c r="J53" s="30"/>
      <c r="K53" s="31"/>
      <c r="L53" s="30"/>
      <c r="M53" s="31"/>
    </row>
    <row r="54" spans="1:13" ht="15.75" customHeight="1" outlineLevel="1" x14ac:dyDescent="0.2">
      <c r="A54" s="18" t="s">
        <v>16</v>
      </c>
      <c r="B54" s="30"/>
      <c r="C54" s="31"/>
      <c r="D54" s="30"/>
      <c r="E54" s="31"/>
      <c r="F54" s="30">
        <v>41173606</v>
      </c>
      <c r="G54" s="31">
        <v>33542443</v>
      </c>
      <c r="H54" s="30"/>
      <c r="I54" s="31"/>
      <c r="J54" s="30"/>
      <c r="K54" s="31"/>
      <c r="L54" s="30"/>
      <c r="M54" s="31"/>
    </row>
    <row r="55" spans="1:13" ht="15.75" customHeight="1" x14ac:dyDescent="0.2">
      <c r="A55" s="1" t="s">
        <v>41</v>
      </c>
      <c r="B55" s="29">
        <f t="shared" ref="B55:M55" si="10">SUM(B56:B61)</f>
        <v>20525493352</v>
      </c>
      <c r="C55" s="3">
        <f t="shared" si="10"/>
        <v>15860917759</v>
      </c>
      <c r="D55" s="29">
        <f t="shared" si="10"/>
        <v>12145986961</v>
      </c>
      <c r="E55" s="3">
        <f t="shared" si="10"/>
        <v>10124848244</v>
      </c>
      <c r="F55" s="29">
        <f t="shared" si="10"/>
        <v>9359565903</v>
      </c>
      <c r="G55" s="3">
        <f t="shared" si="10"/>
        <v>7999546652</v>
      </c>
      <c r="H55" s="29">
        <f t="shared" si="10"/>
        <v>1327518640</v>
      </c>
      <c r="I55" s="3">
        <f t="shared" si="10"/>
        <v>1197110001</v>
      </c>
      <c r="J55" s="29">
        <f t="shared" si="10"/>
        <v>9599141293</v>
      </c>
      <c r="K55" s="3">
        <f t="shared" si="10"/>
        <v>8905962614</v>
      </c>
      <c r="L55" s="29">
        <f t="shared" si="10"/>
        <v>14961978416</v>
      </c>
      <c r="M55" s="3">
        <f t="shared" si="10"/>
        <v>13299889093</v>
      </c>
    </row>
    <row r="56" spans="1:13" ht="15.75" customHeight="1" outlineLevel="1" x14ac:dyDescent="0.2">
      <c r="A56" s="18" t="s">
        <v>8</v>
      </c>
      <c r="B56" s="30">
        <v>174320344</v>
      </c>
      <c r="C56" s="31">
        <v>106359068</v>
      </c>
      <c r="D56" s="30">
        <v>156855509</v>
      </c>
      <c r="E56" s="31">
        <v>150212578</v>
      </c>
      <c r="F56" s="30">
        <v>266409123</v>
      </c>
      <c r="G56" s="31">
        <v>212585223</v>
      </c>
      <c r="H56" s="30">
        <v>18523800</v>
      </c>
      <c r="I56" s="31">
        <v>7000000</v>
      </c>
      <c r="J56" s="30">
        <v>112000000</v>
      </c>
      <c r="K56" s="31">
        <v>112000000</v>
      </c>
      <c r="L56" s="30">
        <v>89115600</v>
      </c>
      <c r="M56" s="31">
        <v>67662000</v>
      </c>
    </row>
    <row r="57" spans="1:13" ht="15.75" customHeight="1" outlineLevel="1" x14ac:dyDescent="0.2">
      <c r="A57" s="18" t="s">
        <v>15</v>
      </c>
      <c r="B57" s="30">
        <v>19227123910</v>
      </c>
      <c r="C57" s="31">
        <v>15340930627</v>
      </c>
      <c r="D57" s="30">
        <v>10890366489</v>
      </c>
      <c r="E57" s="31">
        <v>9656296008</v>
      </c>
      <c r="F57" s="30">
        <v>8559018212</v>
      </c>
      <c r="G57" s="31">
        <v>7480231300</v>
      </c>
      <c r="H57" s="30">
        <v>878161489</v>
      </c>
      <c r="I57" s="31">
        <v>769956956</v>
      </c>
      <c r="J57" s="30">
        <v>8801443741</v>
      </c>
      <c r="K57" s="31">
        <v>8369581688</v>
      </c>
      <c r="L57" s="30">
        <v>14233102499</v>
      </c>
      <c r="M57" s="31">
        <v>12744421732</v>
      </c>
    </row>
    <row r="58" spans="1:13" ht="15.75" customHeight="1" outlineLevel="1" x14ac:dyDescent="0.2">
      <c r="A58" s="18" t="s">
        <v>16</v>
      </c>
      <c r="B58" s="30">
        <v>223401862</v>
      </c>
      <c r="C58" s="31">
        <v>170696128</v>
      </c>
      <c r="D58" s="30">
        <v>157012486</v>
      </c>
      <c r="E58" s="31">
        <v>98339658</v>
      </c>
      <c r="F58" s="30">
        <v>183693231</v>
      </c>
      <c r="G58" s="31">
        <v>87606623</v>
      </c>
      <c r="H58" s="30">
        <v>32826200</v>
      </c>
      <c r="I58" s="31">
        <v>22145894</v>
      </c>
      <c r="J58" s="30">
        <v>350095180</v>
      </c>
      <c r="K58" s="31">
        <v>263380926</v>
      </c>
      <c r="L58" s="30">
        <v>278136000</v>
      </c>
      <c r="M58" s="31">
        <v>257805361</v>
      </c>
    </row>
    <row r="59" spans="1:13" ht="15.75" customHeight="1" outlineLevel="1" x14ac:dyDescent="0.2">
      <c r="A59" s="18" t="s">
        <v>18</v>
      </c>
      <c r="B59" s="30">
        <v>220000000</v>
      </c>
      <c r="C59" s="31">
        <v>220000000</v>
      </c>
      <c r="D59" s="30">
        <v>500240000</v>
      </c>
      <c r="E59" s="31">
        <v>220000000</v>
      </c>
      <c r="F59" s="30">
        <v>219123506</v>
      </c>
      <c r="G59" s="31">
        <v>219123506</v>
      </c>
      <c r="H59" s="30">
        <v>230000000</v>
      </c>
      <c r="I59" s="31">
        <v>230000000</v>
      </c>
      <c r="J59" s="30">
        <v>161000000</v>
      </c>
      <c r="K59" s="31">
        <v>161000000</v>
      </c>
      <c r="L59" s="30">
        <v>230000000</v>
      </c>
      <c r="M59" s="31">
        <v>230000000</v>
      </c>
    </row>
    <row r="60" spans="1:13" ht="15.75" customHeight="1" outlineLevel="1" x14ac:dyDescent="0.2">
      <c r="A60" s="18" t="s">
        <v>37</v>
      </c>
      <c r="B60" s="30">
        <v>22931936</v>
      </c>
      <c r="C60" s="31">
        <v>22931936</v>
      </c>
      <c r="D60" s="30"/>
      <c r="E60" s="31"/>
      <c r="F60" s="30"/>
      <c r="G60" s="31"/>
      <c r="H60" s="30">
        <v>168007151</v>
      </c>
      <c r="I60" s="31">
        <v>168007151</v>
      </c>
      <c r="J60" s="30"/>
      <c r="K60" s="31"/>
      <c r="L60" s="30"/>
      <c r="M60" s="31"/>
    </row>
    <row r="61" spans="1:13" ht="15.75" customHeight="1" outlineLevel="1" x14ac:dyDescent="0.2">
      <c r="A61" s="18" t="s">
        <v>42</v>
      </c>
      <c r="B61" s="30">
        <v>657715300</v>
      </c>
      <c r="C61" s="31">
        <v>0</v>
      </c>
      <c r="D61" s="30">
        <v>441512477</v>
      </c>
      <c r="E61" s="31">
        <v>0</v>
      </c>
      <c r="F61" s="30">
        <v>131321831</v>
      </c>
      <c r="G61" s="31">
        <v>0</v>
      </c>
      <c r="H61" s="30"/>
      <c r="I61" s="31"/>
      <c r="J61" s="30">
        <v>174602372</v>
      </c>
      <c r="K61" s="31">
        <v>0</v>
      </c>
      <c r="L61" s="30">
        <v>131624317</v>
      </c>
      <c r="M61" s="31">
        <v>0</v>
      </c>
    </row>
    <row r="62" spans="1:13" ht="15.75" customHeight="1" x14ac:dyDescent="0.2">
      <c r="A62" s="1" t="s">
        <v>43</v>
      </c>
      <c r="B62" s="29">
        <f t="shared" ref="B62:M62" si="11">SUM(B63:B67)</f>
        <v>5043640000</v>
      </c>
      <c r="C62" s="3">
        <f t="shared" si="11"/>
        <v>4271772186</v>
      </c>
      <c r="D62" s="29">
        <f t="shared" si="11"/>
        <v>5742224232</v>
      </c>
      <c r="E62" s="3">
        <f t="shared" si="11"/>
        <v>5327515410</v>
      </c>
      <c r="F62" s="29">
        <f t="shared" si="11"/>
        <v>4261527586</v>
      </c>
      <c r="G62" s="3">
        <f t="shared" si="11"/>
        <v>4257291892</v>
      </c>
      <c r="H62" s="29">
        <f t="shared" si="11"/>
        <v>253350000</v>
      </c>
      <c r="I62" s="3">
        <f t="shared" si="11"/>
        <v>202849447</v>
      </c>
      <c r="J62" s="29">
        <f t="shared" si="11"/>
        <v>3839440608</v>
      </c>
      <c r="K62" s="3">
        <f t="shared" si="11"/>
        <v>2857403609</v>
      </c>
      <c r="L62" s="29">
        <f t="shared" si="11"/>
        <v>3198199707</v>
      </c>
      <c r="M62" s="3">
        <f t="shared" si="11"/>
        <v>3088066896</v>
      </c>
    </row>
    <row r="63" spans="1:13" ht="15.75" customHeight="1" outlineLevel="1" x14ac:dyDescent="0.2">
      <c r="A63" s="18" t="s">
        <v>34</v>
      </c>
      <c r="B63" s="30">
        <v>4443640000</v>
      </c>
      <c r="C63" s="31">
        <v>3677452186</v>
      </c>
      <c r="D63" s="30">
        <v>5692224232</v>
      </c>
      <c r="E63" s="31">
        <v>5277515410</v>
      </c>
      <c r="F63" s="30">
        <v>4261527586</v>
      </c>
      <c r="G63" s="31">
        <v>4257291892</v>
      </c>
      <c r="H63" s="30"/>
      <c r="I63" s="31"/>
      <c r="J63" s="30">
        <v>2784920000</v>
      </c>
      <c r="K63" s="31">
        <v>2445542595</v>
      </c>
      <c r="L63" s="30">
        <v>2784380000</v>
      </c>
      <c r="M63" s="31">
        <v>2698322220</v>
      </c>
    </row>
    <row r="64" spans="1:13" ht="15.75" customHeight="1" outlineLevel="1" x14ac:dyDescent="0.2">
      <c r="A64" s="18" t="s">
        <v>44</v>
      </c>
      <c r="B64" s="30">
        <v>600000000</v>
      </c>
      <c r="C64" s="31">
        <v>594320000</v>
      </c>
      <c r="D64" s="30"/>
      <c r="E64" s="31"/>
      <c r="F64" s="30"/>
      <c r="G64" s="31"/>
      <c r="H64" s="30"/>
      <c r="I64" s="31"/>
      <c r="J64" s="30">
        <v>275960006</v>
      </c>
      <c r="K64" s="31">
        <v>275960006</v>
      </c>
      <c r="L64" s="30">
        <v>222199707</v>
      </c>
      <c r="M64" s="31">
        <v>215536416</v>
      </c>
    </row>
    <row r="65" spans="1:13" ht="15.75" customHeight="1" outlineLevel="1" x14ac:dyDescent="0.2">
      <c r="A65" s="18" t="s">
        <v>16</v>
      </c>
      <c r="B65" s="30"/>
      <c r="C65" s="31"/>
      <c r="D65" s="30">
        <v>50000000</v>
      </c>
      <c r="E65" s="31">
        <v>50000000</v>
      </c>
      <c r="F65" s="30"/>
      <c r="G65" s="31"/>
      <c r="H65" s="30">
        <v>10880000</v>
      </c>
      <c r="I65" s="31">
        <v>10310452</v>
      </c>
      <c r="J65" s="30">
        <v>6103008</v>
      </c>
      <c r="K65" s="31">
        <v>6103008</v>
      </c>
      <c r="L65" s="30"/>
      <c r="M65" s="31"/>
    </row>
    <row r="66" spans="1:13" ht="15.75" customHeight="1" outlineLevel="1" x14ac:dyDescent="0.2">
      <c r="A66" s="18" t="s">
        <v>8</v>
      </c>
      <c r="B66" s="30"/>
      <c r="C66" s="31"/>
      <c r="D66" s="30"/>
      <c r="E66" s="31"/>
      <c r="F66" s="30"/>
      <c r="G66" s="31"/>
      <c r="H66" s="30">
        <v>45700000</v>
      </c>
      <c r="I66" s="31">
        <v>43700000</v>
      </c>
      <c r="J66" s="30">
        <v>702117594</v>
      </c>
      <c r="K66" s="31">
        <v>129798000</v>
      </c>
      <c r="L66" s="30">
        <v>128620000</v>
      </c>
      <c r="M66" s="31">
        <v>127104252</v>
      </c>
    </row>
    <row r="67" spans="1:13" ht="15.75" customHeight="1" outlineLevel="1" x14ac:dyDescent="0.2">
      <c r="A67" s="18" t="s">
        <v>15</v>
      </c>
      <c r="B67" s="30"/>
      <c r="C67" s="31"/>
      <c r="D67" s="30"/>
      <c r="E67" s="31"/>
      <c r="F67" s="30"/>
      <c r="G67" s="31"/>
      <c r="H67" s="30">
        <v>196770000</v>
      </c>
      <c r="I67" s="31">
        <v>148838995</v>
      </c>
      <c r="J67" s="30">
        <v>70340000</v>
      </c>
      <c r="K67" s="31">
        <v>0</v>
      </c>
      <c r="L67" s="30">
        <v>63000000</v>
      </c>
      <c r="M67" s="31">
        <v>47104008</v>
      </c>
    </row>
    <row r="68" spans="1:13" ht="15.75" customHeight="1" x14ac:dyDescent="0.2">
      <c r="A68" s="1" t="s">
        <v>45</v>
      </c>
      <c r="B68" s="29">
        <f t="shared" ref="B68:M68" si="12">SUM(B69:B76)</f>
        <v>3737172159</v>
      </c>
      <c r="C68" s="3">
        <f t="shared" si="12"/>
        <v>901193641</v>
      </c>
      <c r="D68" s="29">
        <f t="shared" si="12"/>
        <v>4739808682</v>
      </c>
      <c r="E68" s="3">
        <f t="shared" si="12"/>
        <v>305096426</v>
      </c>
      <c r="F68" s="29">
        <f t="shared" si="12"/>
        <v>3595723098</v>
      </c>
      <c r="G68" s="3">
        <f t="shared" si="12"/>
        <v>456237795</v>
      </c>
      <c r="H68" s="29">
        <f t="shared" si="12"/>
        <v>2407310493</v>
      </c>
      <c r="I68" s="3">
        <f t="shared" si="12"/>
        <v>226293840</v>
      </c>
      <c r="J68" s="29">
        <f t="shared" si="12"/>
        <v>2072360371</v>
      </c>
      <c r="K68" s="3">
        <f t="shared" si="12"/>
        <v>187030416</v>
      </c>
      <c r="L68" s="29">
        <f t="shared" si="12"/>
        <v>5794336281</v>
      </c>
      <c r="M68" s="3">
        <f t="shared" si="12"/>
        <v>369429303</v>
      </c>
    </row>
    <row r="69" spans="1:13" ht="15.75" customHeight="1" outlineLevel="1" x14ac:dyDescent="0.2">
      <c r="A69" s="18" t="s">
        <v>8</v>
      </c>
      <c r="B69" s="30">
        <v>879227696</v>
      </c>
      <c r="C69" s="31">
        <v>689936509</v>
      </c>
      <c r="D69" s="30">
        <v>358188316</v>
      </c>
      <c r="E69" s="31">
        <v>283845686</v>
      </c>
      <c r="F69" s="30">
        <v>446261200</v>
      </c>
      <c r="G69" s="31">
        <v>424588847</v>
      </c>
      <c r="H69" s="30">
        <v>397406177</v>
      </c>
      <c r="I69" s="31">
        <v>196293840</v>
      </c>
      <c r="J69" s="30">
        <v>1062003579</v>
      </c>
      <c r="K69" s="31">
        <v>187030416</v>
      </c>
      <c r="L69" s="30">
        <v>422300400</v>
      </c>
      <c r="M69" s="31">
        <v>174604171</v>
      </c>
    </row>
    <row r="70" spans="1:13" ht="15.75" customHeight="1" outlineLevel="1" x14ac:dyDescent="0.2">
      <c r="A70" s="18" t="s">
        <v>16</v>
      </c>
      <c r="B70" s="30">
        <v>201941855</v>
      </c>
      <c r="C70" s="31">
        <v>89011345</v>
      </c>
      <c r="D70" s="30">
        <v>20000000</v>
      </c>
      <c r="E70" s="31">
        <v>9966250</v>
      </c>
      <c r="F70" s="30">
        <v>51650000</v>
      </c>
      <c r="G70" s="31">
        <v>31648948</v>
      </c>
      <c r="H70" s="30">
        <v>107498441</v>
      </c>
      <c r="I70" s="31">
        <v>30000000</v>
      </c>
      <c r="J70" s="30">
        <v>103000000</v>
      </c>
      <c r="K70" s="31">
        <v>0</v>
      </c>
      <c r="L70" s="30">
        <v>55000000</v>
      </c>
      <c r="M70" s="31">
        <v>4980000</v>
      </c>
    </row>
    <row r="71" spans="1:13" ht="15.75" customHeight="1" outlineLevel="1" x14ac:dyDescent="0.2">
      <c r="A71" s="18" t="s">
        <v>46</v>
      </c>
      <c r="B71" s="30">
        <v>2352812609</v>
      </c>
      <c r="C71" s="31">
        <v>0</v>
      </c>
      <c r="D71" s="30">
        <v>4034620366</v>
      </c>
      <c r="E71" s="31">
        <v>0</v>
      </c>
      <c r="F71" s="30">
        <v>3035811898</v>
      </c>
      <c r="G71" s="31">
        <v>0</v>
      </c>
      <c r="H71" s="30">
        <v>1880405875</v>
      </c>
      <c r="I71" s="31">
        <v>0</v>
      </c>
      <c r="J71" s="30">
        <v>252963392</v>
      </c>
      <c r="K71" s="31">
        <v>0</v>
      </c>
      <c r="L71" s="30">
        <v>4127711432</v>
      </c>
      <c r="M71" s="31">
        <v>0</v>
      </c>
    </row>
    <row r="72" spans="1:13" ht="15.75" customHeight="1" outlineLevel="1" x14ac:dyDescent="0.2">
      <c r="A72" s="18" t="s">
        <v>18</v>
      </c>
      <c r="B72" s="30">
        <v>37500000</v>
      </c>
      <c r="C72" s="31">
        <v>17466736</v>
      </c>
      <c r="D72" s="30">
        <v>22000000</v>
      </c>
      <c r="E72" s="31">
        <v>11284490</v>
      </c>
      <c r="F72" s="30">
        <v>15000000</v>
      </c>
      <c r="G72" s="31">
        <v>0</v>
      </c>
      <c r="H72" s="30"/>
      <c r="I72" s="31"/>
      <c r="J72" s="30">
        <v>100000000</v>
      </c>
      <c r="K72" s="31">
        <v>0</v>
      </c>
      <c r="L72" s="30">
        <v>215000000</v>
      </c>
      <c r="M72" s="31">
        <v>189845132</v>
      </c>
    </row>
    <row r="73" spans="1:13" ht="15.75" customHeight="1" outlineLevel="1" x14ac:dyDescent="0.2">
      <c r="A73" s="18" t="s">
        <v>34</v>
      </c>
      <c r="B73" s="30">
        <v>35689999</v>
      </c>
      <c r="C73" s="31">
        <v>0</v>
      </c>
      <c r="D73" s="30">
        <v>305000000</v>
      </c>
      <c r="E73" s="31">
        <v>0</v>
      </c>
      <c r="F73" s="30">
        <v>47000000</v>
      </c>
      <c r="G73" s="31">
        <v>0</v>
      </c>
      <c r="H73" s="30"/>
      <c r="I73" s="31"/>
      <c r="J73" s="30">
        <v>553393400</v>
      </c>
      <c r="K73" s="31">
        <v>0</v>
      </c>
      <c r="L73" s="30">
        <v>974324449</v>
      </c>
      <c r="M73" s="31">
        <v>0</v>
      </c>
    </row>
    <row r="74" spans="1:13" ht="15.75" customHeight="1" outlineLevel="1" x14ac:dyDescent="0.2">
      <c r="A74" s="18" t="s">
        <v>15</v>
      </c>
      <c r="B74" s="30">
        <v>140000000</v>
      </c>
      <c r="C74" s="31">
        <v>101092030</v>
      </c>
      <c r="D74" s="30"/>
      <c r="E74" s="31"/>
      <c r="F74" s="30"/>
      <c r="G74" s="31"/>
      <c r="H74" s="30">
        <v>22000000</v>
      </c>
      <c r="I74" s="31">
        <v>0</v>
      </c>
      <c r="J74" s="30">
        <v>1000000</v>
      </c>
      <c r="K74" s="31">
        <v>0</v>
      </c>
      <c r="L74" s="30"/>
      <c r="M74" s="31"/>
    </row>
    <row r="75" spans="1:13" ht="15.75" customHeight="1" outlineLevel="1" x14ac:dyDescent="0.2">
      <c r="A75" s="18" t="s">
        <v>17</v>
      </c>
      <c r="B75" s="30">
        <v>10000000</v>
      </c>
      <c r="C75" s="31">
        <v>72621</v>
      </c>
      <c r="D75" s="30"/>
      <c r="E75" s="31"/>
      <c r="F75" s="30"/>
      <c r="G75" s="31"/>
      <c r="H75" s="30"/>
      <c r="I75" s="31"/>
      <c r="J75" s="30"/>
      <c r="K75" s="31"/>
      <c r="L75" s="30"/>
      <c r="M75" s="31"/>
    </row>
    <row r="76" spans="1:13" ht="15.75" customHeight="1" outlineLevel="1" x14ac:dyDescent="0.2">
      <c r="A76" s="18" t="s">
        <v>24</v>
      </c>
      <c r="B76" s="30">
        <v>80000000</v>
      </c>
      <c r="C76" s="31">
        <v>3614400</v>
      </c>
      <c r="D76" s="30"/>
      <c r="E76" s="31"/>
      <c r="F76" s="30"/>
      <c r="G76" s="31"/>
      <c r="H76" s="30"/>
      <c r="I76" s="31"/>
      <c r="J76" s="30"/>
      <c r="K76" s="31"/>
      <c r="L76" s="30"/>
      <c r="M76" s="31"/>
    </row>
    <row r="77" spans="1:13" ht="15.75" customHeight="1" x14ac:dyDescent="0.2">
      <c r="A77" s="1" t="s">
        <v>47</v>
      </c>
      <c r="B77" s="29">
        <f t="shared" ref="B77:M77" si="13">SUM(B78:B82)</f>
        <v>2325193822</v>
      </c>
      <c r="C77" s="3">
        <f t="shared" si="13"/>
        <v>998633422</v>
      </c>
      <c r="D77" s="29">
        <f t="shared" si="13"/>
        <v>1056987111</v>
      </c>
      <c r="E77" s="3">
        <f t="shared" si="13"/>
        <v>647460767</v>
      </c>
      <c r="F77" s="29">
        <f t="shared" si="13"/>
        <v>83600000</v>
      </c>
      <c r="G77" s="3">
        <f t="shared" si="13"/>
        <v>63469474</v>
      </c>
      <c r="H77" s="29">
        <f t="shared" si="13"/>
        <v>24000000</v>
      </c>
      <c r="I77" s="3">
        <f t="shared" si="13"/>
        <v>22973651</v>
      </c>
      <c r="J77" s="29">
        <f t="shared" si="13"/>
        <v>205903067</v>
      </c>
      <c r="K77" s="3">
        <f t="shared" si="13"/>
        <v>66444400</v>
      </c>
      <c r="L77" s="29">
        <f t="shared" si="13"/>
        <v>679666667</v>
      </c>
      <c r="M77" s="3">
        <f t="shared" si="13"/>
        <v>473000001</v>
      </c>
    </row>
    <row r="78" spans="1:13" ht="15.75" customHeight="1" outlineLevel="1" x14ac:dyDescent="0.2">
      <c r="A78" s="18" t="s">
        <v>8</v>
      </c>
      <c r="B78" s="30">
        <v>1430478000</v>
      </c>
      <c r="C78" s="31">
        <v>911278332</v>
      </c>
      <c r="D78" s="30">
        <v>1028928777</v>
      </c>
      <c r="E78" s="31">
        <v>632860143</v>
      </c>
      <c r="F78" s="30">
        <v>37080000</v>
      </c>
      <c r="G78" s="31">
        <v>36882420</v>
      </c>
      <c r="H78" s="30">
        <v>16200000</v>
      </c>
      <c r="I78" s="31">
        <v>16200000</v>
      </c>
      <c r="J78" s="30">
        <v>205903067</v>
      </c>
      <c r="K78" s="31">
        <v>66444400</v>
      </c>
      <c r="L78" s="30">
        <v>550450000</v>
      </c>
      <c r="M78" s="31">
        <v>420000001</v>
      </c>
    </row>
    <row r="79" spans="1:13" ht="15.75" customHeight="1" outlineLevel="1" x14ac:dyDescent="0.2">
      <c r="A79" s="18" t="s">
        <v>15</v>
      </c>
      <c r="B79" s="30">
        <v>26321400</v>
      </c>
      <c r="C79" s="31">
        <v>22457847</v>
      </c>
      <c r="D79" s="30">
        <v>5298117</v>
      </c>
      <c r="E79" s="31">
        <v>5008337</v>
      </c>
      <c r="F79" s="30">
        <v>3000000</v>
      </c>
      <c r="G79" s="31">
        <v>2734620</v>
      </c>
      <c r="H79" s="30">
        <v>535500</v>
      </c>
      <c r="I79" s="31">
        <v>535500</v>
      </c>
      <c r="J79" s="30"/>
      <c r="K79" s="31"/>
      <c r="L79" s="30"/>
      <c r="M79" s="31"/>
    </row>
    <row r="80" spans="1:13" ht="15.75" customHeight="1" outlineLevel="1" x14ac:dyDescent="0.2">
      <c r="A80" s="18" t="s">
        <v>16</v>
      </c>
      <c r="B80" s="30">
        <v>28289800</v>
      </c>
      <c r="C80" s="31">
        <v>21897243</v>
      </c>
      <c r="D80" s="30">
        <v>22760217</v>
      </c>
      <c r="E80" s="31">
        <v>9592287</v>
      </c>
      <c r="F80" s="30">
        <v>43520000</v>
      </c>
      <c r="G80" s="31">
        <v>23852434</v>
      </c>
      <c r="H80" s="30">
        <v>7264500</v>
      </c>
      <c r="I80" s="31">
        <v>6238151</v>
      </c>
      <c r="J80" s="30"/>
      <c r="K80" s="31"/>
      <c r="L80" s="30"/>
      <c r="M80" s="31"/>
    </row>
    <row r="81" spans="1:13" ht="15.75" customHeight="1" outlineLevel="1" x14ac:dyDescent="0.2">
      <c r="A81" s="18" t="s">
        <v>48</v>
      </c>
      <c r="B81" s="30">
        <v>797104622</v>
      </c>
      <c r="C81" s="31">
        <v>0</v>
      </c>
      <c r="D81" s="30"/>
      <c r="E81" s="31"/>
      <c r="F81" s="30"/>
      <c r="G81" s="31"/>
      <c r="H81" s="30"/>
      <c r="I81" s="31"/>
      <c r="J81" s="30"/>
      <c r="K81" s="31"/>
      <c r="L81" s="30">
        <v>23216667</v>
      </c>
      <c r="M81" s="31">
        <v>0</v>
      </c>
    </row>
    <row r="82" spans="1:13" ht="15.75" customHeight="1" outlineLevel="1" x14ac:dyDescent="0.2">
      <c r="A82" s="18" t="s">
        <v>49</v>
      </c>
      <c r="B82" s="30">
        <v>43000000</v>
      </c>
      <c r="C82" s="31">
        <v>43000000</v>
      </c>
      <c r="D82" s="30"/>
      <c r="E82" s="31"/>
      <c r="F82" s="30"/>
      <c r="G82" s="31"/>
      <c r="H82" s="30"/>
      <c r="I82" s="31"/>
      <c r="J82" s="30"/>
      <c r="K82" s="31"/>
      <c r="L82" s="30">
        <v>106000000</v>
      </c>
      <c r="M82" s="31">
        <v>53000000</v>
      </c>
    </row>
    <row r="83" spans="1:13" ht="15.75" customHeight="1" x14ac:dyDescent="0.2">
      <c r="A83" s="1" t="s">
        <v>50</v>
      </c>
      <c r="B83" s="29">
        <f t="shared" ref="B83:M83" si="14">SUM(B84:B88)</f>
        <v>125990000</v>
      </c>
      <c r="C83" s="3">
        <f t="shared" si="14"/>
        <v>123295968</v>
      </c>
      <c r="D83" s="29">
        <f t="shared" si="14"/>
        <v>194010000</v>
      </c>
      <c r="E83" s="3">
        <f t="shared" si="14"/>
        <v>168382399</v>
      </c>
      <c r="F83" s="29">
        <f t="shared" si="14"/>
        <v>95627601</v>
      </c>
      <c r="G83" s="3">
        <f t="shared" si="14"/>
        <v>64910694</v>
      </c>
      <c r="H83" s="29">
        <f t="shared" si="14"/>
        <v>20000000</v>
      </c>
      <c r="I83" s="3">
        <f t="shared" si="14"/>
        <v>15030247</v>
      </c>
      <c r="J83" s="29">
        <f t="shared" si="14"/>
        <v>140000000</v>
      </c>
      <c r="K83" s="3">
        <f t="shared" si="14"/>
        <v>112130385</v>
      </c>
      <c r="L83" s="29">
        <f t="shared" si="14"/>
        <v>230000000</v>
      </c>
      <c r="M83" s="3">
        <f t="shared" si="14"/>
        <v>158378880</v>
      </c>
    </row>
    <row r="84" spans="1:13" ht="15.75" customHeight="1" outlineLevel="1" x14ac:dyDescent="0.2">
      <c r="A84" s="18" t="s">
        <v>8</v>
      </c>
      <c r="B84" s="30">
        <v>103250000</v>
      </c>
      <c r="C84" s="31">
        <v>102476000</v>
      </c>
      <c r="D84" s="30">
        <v>158740000</v>
      </c>
      <c r="E84" s="31">
        <v>158740000</v>
      </c>
      <c r="F84" s="30">
        <v>74127601</v>
      </c>
      <c r="G84" s="31">
        <v>60100000</v>
      </c>
      <c r="H84" s="30">
        <v>2200000</v>
      </c>
      <c r="I84" s="31">
        <v>0</v>
      </c>
      <c r="J84" s="30">
        <v>125000000</v>
      </c>
      <c r="K84" s="31">
        <v>112130385</v>
      </c>
      <c r="L84" s="30">
        <v>165000000</v>
      </c>
      <c r="M84" s="31">
        <v>158378880</v>
      </c>
    </row>
    <row r="85" spans="1:13" ht="15.75" customHeight="1" outlineLevel="1" x14ac:dyDescent="0.2">
      <c r="A85" s="18" t="s">
        <v>15</v>
      </c>
      <c r="B85" s="30">
        <v>6000000</v>
      </c>
      <c r="C85" s="31">
        <v>5340000</v>
      </c>
      <c r="D85" s="30"/>
      <c r="E85" s="31"/>
      <c r="F85" s="30"/>
      <c r="G85" s="31"/>
      <c r="H85" s="30"/>
      <c r="I85" s="31"/>
      <c r="J85" s="30">
        <v>5000000</v>
      </c>
      <c r="K85" s="31">
        <v>0</v>
      </c>
      <c r="L85" s="30"/>
      <c r="M85" s="31"/>
    </row>
    <row r="86" spans="1:13" ht="15.75" customHeight="1" outlineLevel="1" x14ac:dyDescent="0.2">
      <c r="A86" s="18" t="s">
        <v>16</v>
      </c>
      <c r="B86" s="30">
        <v>16740000</v>
      </c>
      <c r="C86" s="31">
        <v>15479968</v>
      </c>
      <c r="D86" s="30">
        <v>9642399</v>
      </c>
      <c r="E86" s="31">
        <v>9642399</v>
      </c>
      <c r="F86" s="30">
        <v>21500000</v>
      </c>
      <c r="G86" s="31">
        <v>4810694</v>
      </c>
      <c r="H86" s="30">
        <v>17710000</v>
      </c>
      <c r="I86" s="31">
        <v>14955247</v>
      </c>
      <c r="J86" s="30">
        <v>10000000</v>
      </c>
      <c r="K86" s="31">
        <v>0</v>
      </c>
      <c r="L86" s="30">
        <v>65000000</v>
      </c>
      <c r="M86" s="31">
        <v>0</v>
      </c>
    </row>
    <row r="87" spans="1:13" ht="15.75" customHeight="1" outlineLevel="1" x14ac:dyDescent="0.2">
      <c r="A87" s="18" t="s">
        <v>51</v>
      </c>
      <c r="B87" s="30"/>
      <c r="C87" s="31"/>
      <c r="D87" s="30">
        <v>25627601</v>
      </c>
      <c r="E87" s="31">
        <v>0</v>
      </c>
      <c r="F87" s="30"/>
      <c r="G87" s="31"/>
      <c r="H87" s="30"/>
      <c r="I87" s="31"/>
      <c r="J87" s="30"/>
      <c r="K87" s="31"/>
      <c r="L87" s="30"/>
      <c r="M87" s="31"/>
    </row>
    <row r="88" spans="1:13" ht="15.75" customHeight="1" outlineLevel="1" x14ac:dyDescent="0.2">
      <c r="A88" s="18" t="s">
        <v>18</v>
      </c>
      <c r="B88" s="30"/>
      <c r="C88" s="31"/>
      <c r="D88" s="30"/>
      <c r="E88" s="31"/>
      <c r="F88" s="30"/>
      <c r="G88" s="31"/>
      <c r="H88" s="30">
        <v>90000</v>
      </c>
      <c r="I88" s="31">
        <v>75000</v>
      </c>
      <c r="J88" s="30"/>
      <c r="K88" s="31"/>
      <c r="L88" s="30"/>
      <c r="M88" s="31"/>
    </row>
    <row r="89" spans="1:13" ht="15.75" customHeight="1" x14ac:dyDescent="0.2">
      <c r="A89" s="1" t="s">
        <v>52</v>
      </c>
      <c r="B89" s="29">
        <f t="shared" ref="B89:I89" si="15">SUM(B90:B93)</f>
        <v>300650000</v>
      </c>
      <c r="C89" s="3">
        <f t="shared" si="15"/>
        <v>137923020</v>
      </c>
      <c r="D89" s="29">
        <f t="shared" si="15"/>
        <v>313850000</v>
      </c>
      <c r="E89" s="3">
        <f t="shared" si="15"/>
        <v>250244414</v>
      </c>
      <c r="F89" s="29">
        <f t="shared" si="15"/>
        <v>341850000</v>
      </c>
      <c r="G89" s="3">
        <f t="shared" si="15"/>
        <v>255763803</v>
      </c>
      <c r="H89" s="29">
        <f t="shared" si="15"/>
        <v>16500000</v>
      </c>
      <c r="I89" s="3">
        <f t="shared" si="15"/>
        <v>15626376</v>
      </c>
      <c r="J89" s="29"/>
      <c r="K89" s="3"/>
      <c r="L89" s="29"/>
      <c r="M89" s="3"/>
    </row>
    <row r="90" spans="1:13" ht="15.75" customHeight="1" outlineLevel="1" x14ac:dyDescent="0.2">
      <c r="A90" s="18" t="s">
        <v>8</v>
      </c>
      <c r="B90" s="30">
        <v>196600000</v>
      </c>
      <c r="C90" s="31">
        <v>80200000</v>
      </c>
      <c r="D90" s="30">
        <v>228700000</v>
      </c>
      <c r="E90" s="31">
        <v>188954000</v>
      </c>
      <c r="F90" s="30">
        <v>216400000</v>
      </c>
      <c r="G90" s="31">
        <v>138528094</v>
      </c>
      <c r="H90" s="30">
        <v>14500000</v>
      </c>
      <c r="I90" s="31">
        <v>14361340</v>
      </c>
      <c r="J90" s="30"/>
      <c r="K90" s="31"/>
      <c r="L90" s="30"/>
      <c r="M90" s="31"/>
    </row>
    <row r="91" spans="1:13" ht="15.75" customHeight="1" outlineLevel="1" x14ac:dyDescent="0.2">
      <c r="A91" s="18" t="s">
        <v>15</v>
      </c>
      <c r="B91" s="30">
        <v>22950000</v>
      </c>
      <c r="C91" s="31">
        <v>1053351</v>
      </c>
      <c r="D91" s="30">
        <v>3650000</v>
      </c>
      <c r="E91" s="31">
        <v>3024400</v>
      </c>
      <c r="F91" s="30">
        <v>800000</v>
      </c>
      <c r="G91" s="31">
        <v>772608</v>
      </c>
      <c r="H91" s="30"/>
      <c r="I91" s="31"/>
      <c r="J91" s="30"/>
      <c r="K91" s="31"/>
      <c r="L91" s="30"/>
      <c r="M91" s="31"/>
    </row>
    <row r="92" spans="1:13" ht="15.75" customHeight="1" outlineLevel="1" x14ac:dyDescent="0.2">
      <c r="A92" s="18" t="s">
        <v>16</v>
      </c>
      <c r="B92" s="30">
        <v>81100000</v>
      </c>
      <c r="C92" s="31">
        <v>56669669</v>
      </c>
      <c r="D92" s="30">
        <v>78962000</v>
      </c>
      <c r="E92" s="31">
        <v>55728014</v>
      </c>
      <c r="F92" s="30">
        <v>124500000</v>
      </c>
      <c r="G92" s="31">
        <v>116463101</v>
      </c>
      <c r="H92" s="30">
        <v>2000000</v>
      </c>
      <c r="I92" s="31">
        <v>1265036</v>
      </c>
      <c r="J92" s="30"/>
      <c r="K92" s="31"/>
      <c r="L92" s="30"/>
      <c r="M92" s="31"/>
    </row>
    <row r="93" spans="1:13" ht="15.75" customHeight="1" outlineLevel="1" x14ac:dyDescent="0.2">
      <c r="A93" s="18" t="s">
        <v>18</v>
      </c>
      <c r="B93" s="30"/>
      <c r="C93" s="31"/>
      <c r="D93" s="30">
        <v>2538000</v>
      </c>
      <c r="E93" s="31">
        <v>2538000</v>
      </c>
      <c r="F93" s="30">
        <v>150000</v>
      </c>
      <c r="G93" s="31">
        <v>0</v>
      </c>
      <c r="H93" s="30"/>
      <c r="I93" s="31"/>
      <c r="J93" s="30"/>
      <c r="K93" s="31"/>
      <c r="L93" s="30"/>
      <c r="M93" s="31"/>
    </row>
    <row r="94" spans="1:13" ht="15.75" customHeight="1" x14ac:dyDescent="0.2">
      <c r="A94" s="1" t="s">
        <v>53</v>
      </c>
      <c r="B94" s="29">
        <f>SUM(B95:B98)</f>
        <v>2515724566</v>
      </c>
      <c r="C94" s="3">
        <f>SUM(C95:C98)</f>
        <v>0</v>
      </c>
      <c r="D94" s="29">
        <f>SUM(D95:D98)</f>
        <v>6714824823</v>
      </c>
      <c r="E94" s="3">
        <f>SUM(E95:E98)</f>
        <v>325574763</v>
      </c>
      <c r="F94" s="29">
        <f>SUM(F95:F98)</f>
        <v>9005690</v>
      </c>
      <c r="G94" s="3">
        <v>0</v>
      </c>
      <c r="H94" s="29"/>
      <c r="I94" s="3"/>
      <c r="J94" s="29"/>
      <c r="K94" s="3"/>
      <c r="L94" s="29"/>
      <c r="M94" s="3"/>
    </row>
    <row r="95" spans="1:13" ht="15.75" customHeight="1" outlineLevel="1" x14ac:dyDescent="0.2">
      <c r="A95" s="18" t="s">
        <v>54</v>
      </c>
      <c r="B95" s="30">
        <v>2515724566</v>
      </c>
      <c r="C95" s="31">
        <v>0</v>
      </c>
      <c r="D95" s="30">
        <v>6134324823</v>
      </c>
      <c r="E95" s="31"/>
      <c r="F95" s="30">
        <v>9005690</v>
      </c>
      <c r="G95" s="31"/>
      <c r="H95" s="30"/>
      <c r="I95" s="31"/>
      <c r="J95" s="30"/>
      <c r="K95" s="31"/>
      <c r="L95" s="30"/>
      <c r="M95" s="31"/>
    </row>
    <row r="96" spans="1:13" ht="15.75" customHeight="1" outlineLevel="1" x14ac:dyDescent="0.2">
      <c r="A96" s="18" t="s">
        <v>8</v>
      </c>
      <c r="B96" s="30"/>
      <c r="C96" s="31"/>
      <c r="D96" s="30">
        <v>81000000</v>
      </c>
      <c r="E96" s="31">
        <v>79858160</v>
      </c>
      <c r="F96" s="30"/>
      <c r="G96" s="31"/>
      <c r="H96" s="30"/>
      <c r="I96" s="31"/>
      <c r="J96" s="30"/>
      <c r="K96" s="31"/>
      <c r="L96" s="30"/>
      <c r="M96" s="31"/>
    </row>
    <row r="97" spans="1:13" ht="15.75" customHeight="1" outlineLevel="1" x14ac:dyDescent="0.2">
      <c r="A97" s="18" t="s">
        <v>15</v>
      </c>
      <c r="B97" s="30"/>
      <c r="C97" s="31"/>
      <c r="D97" s="30">
        <v>467000000</v>
      </c>
      <c r="E97" s="31">
        <v>235741823</v>
      </c>
      <c r="F97" s="30"/>
      <c r="G97" s="31"/>
      <c r="H97" s="30"/>
      <c r="I97" s="31"/>
      <c r="J97" s="30"/>
      <c r="K97" s="31"/>
      <c r="L97" s="30"/>
      <c r="M97" s="31"/>
    </row>
    <row r="98" spans="1:13" ht="15.75" customHeight="1" outlineLevel="1" x14ac:dyDescent="0.2">
      <c r="A98" s="18" t="s">
        <v>16</v>
      </c>
      <c r="B98" s="30"/>
      <c r="C98" s="31"/>
      <c r="D98" s="30">
        <v>32500000</v>
      </c>
      <c r="E98" s="31">
        <v>9974780</v>
      </c>
      <c r="F98" s="30"/>
      <c r="G98" s="31"/>
      <c r="H98" s="30"/>
      <c r="I98" s="31"/>
      <c r="J98" s="30"/>
      <c r="K98" s="31"/>
      <c r="L98" s="30"/>
      <c r="M98" s="31"/>
    </row>
    <row r="99" spans="1:13" ht="15.75" customHeight="1" x14ac:dyDescent="0.2">
      <c r="A99" s="1" t="s">
        <v>55</v>
      </c>
      <c r="B99" s="29">
        <f t="shared" ref="B99:G99" si="16">SUM(B100:B102)</f>
        <v>990342674</v>
      </c>
      <c r="C99" s="3">
        <f t="shared" si="16"/>
        <v>907780723</v>
      </c>
      <c r="D99" s="29">
        <f t="shared" si="16"/>
        <v>3154286442</v>
      </c>
      <c r="E99" s="3">
        <f t="shared" si="16"/>
        <v>3133797451</v>
      </c>
      <c r="F99" s="29">
        <f t="shared" si="16"/>
        <v>3356932835</v>
      </c>
      <c r="G99" s="3">
        <f t="shared" si="16"/>
        <v>3352106437</v>
      </c>
      <c r="H99" s="29"/>
      <c r="I99" s="3"/>
      <c r="J99" s="29"/>
      <c r="K99" s="3"/>
      <c r="L99" s="29"/>
      <c r="M99" s="3"/>
    </row>
    <row r="100" spans="1:13" ht="15.75" customHeight="1" outlineLevel="1" x14ac:dyDescent="0.2">
      <c r="A100" s="18" t="s">
        <v>8</v>
      </c>
      <c r="B100" s="30">
        <v>875279482</v>
      </c>
      <c r="C100" s="31">
        <v>804425263</v>
      </c>
      <c r="D100" s="30">
        <v>424890848</v>
      </c>
      <c r="E100" s="31">
        <v>415745550</v>
      </c>
      <c r="F100" s="30">
        <v>151813413</v>
      </c>
      <c r="G100" s="31">
        <v>151769771</v>
      </c>
      <c r="H100" s="30"/>
      <c r="I100" s="31"/>
      <c r="J100" s="30"/>
      <c r="K100" s="31"/>
      <c r="L100" s="30"/>
      <c r="M100" s="31"/>
    </row>
    <row r="101" spans="1:13" ht="15.75" customHeight="1" outlineLevel="1" x14ac:dyDescent="0.2">
      <c r="A101" s="18" t="s">
        <v>15</v>
      </c>
      <c r="B101" s="30">
        <v>87809888</v>
      </c>
      <c r="C101" s="31">
        <v>86567241</v>
      </c>
      <c r="D101" s="30"/>
      <c r="E101" s="31"/>
      <c r="F101" s="30"/>
      <c r="G101" s="31"/>
      <c r="H101" s="30"/>
      <c r="I101" s="31"/>
      <c r="J101" s="30"/>
      <c r="K101" s="31"/>
      <c r="L101" s="30"/>
      <c r="M101" s="31"/>
    </row>
    <row r="102" spans="1:13" ht="15.75" customHeight="1" outlineLevel="1" x14ac:dyDescent="0.2">
      <c r="A102" s="18" t="s">
        <v>16</v>
      </c>
      <c r="B102" s="30">
        <v>27253304</v>
      </c>
      <c r="C102" s="31">
        <v>16788219</v>
      </c>
      <c r="D102" s="30">
        <v>2729395594</v>
      </c>
      <c r="E102" s="31">
        <v>2718051901</v>
      </c>
      <c r="F102" s="30">
        <v>3205119422</v>
      </c>
      <c r="G102" s="31">
        <v>3200336666</v>
      </c>
      <c r="H102" s="30"/>
      <c r="I102" s="31"/>
      <c r="J102" s="30"/>
      <c r="K102" s="31"/>
      <c r="L102" s="30"/>
      <c r="M102" s="31"/>
    </row>
    <row r="103" spans="1:13" ht="15.75" customHeight="1" x14ac:dyDescent="0.2">
      <c r="A103" s="1" t="s">
        <v>56</v>
      </c>
      <c r="B103" s="29">
        <v>288562452</v>
      </c>
      <c r="C103" s="3">
        <v>74863524</v>
      </c>
      <c r="D103" s="29"/>
      <c r="E103" s="3"/>
      <c r="F103" s="29"/>
      <c r="G103" s="3"/>
      <c r="H103" s="29"/>
      <c r="I103" s="3"/>
      <c r="J103" s="29"/>
      <c r="K103" s="3"/>
      <c r="L103" s="29"/>
      <c r="M103" s="3"/>
    </row>
    <row r="104" spans="1:13" ht="15.75" customHeight="1" x14ac:dyDescent="0.2">
      <c r="A104" s="1" t="s">
        <v>57</v>
      </c>
      <c r="B104" s="29">
        <v>814092</v>
      </c>
      <c r="C104" s="3">
        <v>0</v>
      </c>
      <c r="D104" s="29">
        <v>39689018</v>
      </c>
      <c r="E104" s="3">
        <v>0</v>
      </c>
      <c r="F104" s="29"/>
      <c r="G104" s="3"/>
      <c r="H104" s="29">
        <v>44757809203</v>
      </c>
      <c r="I104" s="3">
        <v>0</v>
      </c>
      <c r="J104" s="29">
        <v>10695206</v>
      </c>
      <c r="K104" s="3">
        <v>0</v>
      </c>
      <c r="L104" s="29">
        <v>11433988133</v>
      </c>
      <c r="M104" s="3">
        <v>0</v>
      </c>
    </row>
    <row r="105" spans="1:13" ht="15.75" customHeight="1" x14ac:dyDescent="0.2">
      <c r="A105" s="27" t="s">
        <v>58</v>
      </c>
      <c r="B105" s="28">
        <f t="shared" ref="B105:M105" si="17">+B106</f>
        <v>0</v>
      </c>
      <c r="C105" s="32">
        <f t="shared" si="17"/>
        <v>0</v>
      </c>
      <c r="D105" s="28">
        <f t="shared" si="17"/>
        <v>0</v>
      </c>
      <c r="E105" s="32">
        <f t="shared" si="17"/>
        <v>0</v>
      </c>
      <c r="F105" s="28">
        <f t="shared" si="17"/>
        <v>0</v>
      </c>
      <c r="G105" s="32">
        <f t="shared" si="17"/>
        <v>0</v>
      </c>
      <c r="H105" s="28">
        <f t="shared" si="17"/>
        <v>4289335435</v>
      </c>
      <c r="I105" s="32">
        <f t="shared" si="17"/>
        <v>0</v>
      </c>
      <c r="J105" s="28">
        <f t="shared" si="17"/>
        <v>3842858035</v>
      </c>
      <c r="K105" s="32">
        <f t="shared" si="17"/>
        <v>0</v>
      </c>
      <c r="L105" s="28">
        <f t="shared" si="17"/>
        <v>3000000000</v>
      </c>
      <c r="M105" s="32">
        <f t="shared" si="17"/>
        <v>0</v>
      </c>
    </row>
    <row r="106" spans="1:13" ht="15.75" customHeight="1" x14ac:dyDescent="0.2">
      <c r="A106" s="33" t="s">
        <v>59</v>
      </c>
      <c r="B106" s="34"/>
      <c r="C106" s="35"/>
      <c r="D106" s="34"/>
      <c r="E106" s="35"/>
      <c r="F106" s="34"/>
      <c r="G106" s="35"/>
      <c r="H106" s="34">
        <v>4289335435</v>
      </c>
      <c r="I106" s="35"/>
      <c r="J106" s="34">
        <v>3842858035</v>
      </c>
      <c r="K106" s="35"/>
      <c r="L106" s="34">
        <v>3000000000</v>
      </c>
      <c r="M106" s="35"/>
    </row>
    <row r="107" spans="1:13" ht="15.75" customHeight="1" x14ac:dyDescent="0.2">
      <c r="A107" s="36" t="s">
        <v>60</v>
      </c>
      <c r="B107" s="10">
        <f t="shared" ref="B107:M107" si="18">+B108+B123+B133</f>
        <v>13920318023</v>
      </c>
      <c r="C107" s="37">
        <f t="shared" si="18"/>
        <v>5992865452</v>
      </c>
      <c r="D107" s="10">
        <f t="shared" si="18"/>
        <v>8282541573</v>
      </c>
      <c r="E107" s="37">
        <f t="shared" si="18"/>
        <v>4888072709</v>
      </c>
      <c r="F107" s="10">
        <f t="shared" si="18"/>
        <v>7837485241</v>
      </c>
      <c r="G107" s="37">
        <f t="shared" si="18"/>
        <v>5062015859</v>
      </c>
      <c r="H107" s="10">
        <f t="shared" si="18"/>
        <v>10334547691</v>
      </c>
      <c r="I107" s="37">
        <f t="shared" si="18"/>
        <v>6922849715</v>
      </c>
      <c r="J107" s="10">
        <f t="shared" si="18"/>
        <v>15784723522</v>
      </c>
      <c r="K107" s="37">
        <f t="shared" si="18"/>
        <v>8105361958</v>
      </c>
      <c r="L107" s="10">
        <f t="shared" si="18"/>
        <v>16996460840</v>
      </c>
      <c r="M107" s="37">
        <f t="shared" si="18"/>
        <v>7487526920</v>
      </c>
    </row>
    <row r="108" spans="1:13" ht="15.75" customHeight="1" x14ac:dyDescent="0.2">
      <c r="A108" s="1" t="s">
        <v>61</v>
      </c>
      <c r="B108" s="38">
        <f t="shared" ref="B108:M108" si="19">SUM(B109:B122)</f>
        <v>8113414512</v>
      </c>
      <c r="C108" s="35">
        <f t="shared" si="19"/>
        <v>4256776463</v>
      </c>
      <c r="D108" s="38">
        <f t="shared" si="19"/>
        <v>5491317199</v>
      </c>
      <c r="E108" s="35">
        <f t="shared" si="19"/>
        <v>3520709408</v>
      </c>
      <c r="F108" s="38">
        <f t="shared" si="19"/>
        <v>5199709618</v>
      </c>
      <c r="G108" s="35">
        <f t="shared" si="19"/>
        <v>3272009921</v>
      </c>
      <c r="H108" s="38">
        <f t="shared" si="19"/>
        <v>6790002110</v>
      </c>
      <c r="I108" s="35">
        <f t="shared" si="19"/>
        <v>4832405590</v>
      </c>
      <c r="J108" s="38">
        <f t="shared" si="19"/>
        <v>11685767368</v>
      </c>
      <c r="K108" s="35">
        <f t="shared" si="19"/>
        <v>6772766136</v>
      </c>
      <c r="L108" s="38">
        <f t="shared" si="19"/>
        <v>13779076974</v>
      </c>
      <c r="M108" s="35">
        <f t="shared" si="19"/>
        <v>5687583876</v>
      </c>
    </row>
    <row r="109" spans="1:13" ht="15.75" customHeight="1" outlineLevel="1" x14ac:dyDescent="0.2">
      <c r="A109" s="18" t="s">
        <v>62</v>
      </c>
      <c r="B109" s="39">
        <v>2131432438</v>
      </c>
      <c r="C109" s="31">
        <v>1675686562</v>
      </c>
      <c r="D109" s="39">
        <v>1651124792</v>
      </c>
      <c r="E109" s="31">
        <v>1251659323</v>
      </c>
      <c r="F109" s="39">
        <v>1770919451</v>
      </c>
      <c r="G109" s="31">
        <v>1455966520</v>
      </c>
      <c r="H109" s="39">
        <v>2954983291</v>
      </c>
      <c r="I109" s="31">
        <v>2405608662</v>
      </c>
      <c r="J109" s="39">
        <v>1749842063</v>
      </c>
      <c r="K109" s="31">
        <v>1129447190</v>
      </c>
      <c r="L109" s="39">
        <v>2106190681</v>
      </c>
      <c r="M109" s="31">
        <v>1299407043</v>
      </c>
    </row>
    <row r="110" spans="1:13" ht="15.75" customHeight="1" outlineLevel="1" x14ac:dyDescent="0.2">
      <c r="A110" s="18" t="s">
        <v>63</v>
      </c>
      <c r="B110" s="39">
        <v>1885139153</v>
      </c>
      <c r="C110" s="31">
        <v>929498444</v>
      </c>
      <c r="D110" s="39">
        <v>1581242655</v>
      </c>
      <c r="E110" s="31">
        <v>1123395763</v>
      </c>
      <c r="F110" s="39">
        <v>1208788822</v>
      </c>
      <c r="G110" s="31">
        <v>742366368</v>
      </c>
      <c r="H110" s="39">
        <v>772916395</v>
      </c>
      <c r="I110" s="31">
        <v>330870765</v>
      </c>
      <c r="J110" s="39">
        <v>4421190866</v>
      </c>
      <c r="K110" s="31">
        <v>3160018672</v>
      </c>
      <c r="L110" s="39">
        <v>1847534463</v>
      </c>
      <c r="M110" s="31">
        <v>795078380</v>
      </c>
    </row>
    <row r="111" spans="1:13" ht="15.75" customHeight="1" outlineLevel="1" x14ac:dyDescent="0.2">
      <c r="A111" s="18" t="s">
        <v>64</v>
      </c>
      <c r="B111" s="39">
        <v>1483238053</v>
      </c>
      <c r="C111" s="31">
        <v>816299246</v>
      </c>
      <c r="D111" s="39">
        <v>1468386381</v>
      </c>
      <c r="E111" s="31">
        <v>904701392</v>
      </c>
      <c r="F111" s="39">
        <v>1191859278</v>
      </c>
      <c r="G111" s="31">
        <v>807701894</v>
      </c>
      <c r="H111" s="39">
        <v>2284663491</v>
      </c>
      <c r="I111" s="31">
        <v>1604364485</v>
      </c>
      <c r="J111" s="39">
        <v>3156079260</v>
      </c>
      <c r="K111" s="31">
        <v>1934674804</v>
      </c>
      <c r="L111" s="39">
        <v>4326355439</v>
      </c>
      <c r="M111" s="31">
        <v>3253782263</v>
      </c>
    </row>
    <row r="112" spans="1:13" ht="15.75" customHeight="1" outlineLevel="1" x14ac:dyDescent="0.2">
      <c r="A112" s="18" t="s">
        <v>65</v>
      </c>
      <c r="B112" s="39">
        <v>214820832</v>
      </c>
      <c r="C112" s="31">
        <v>165019403</v>
      </c>
      <c r="D112" s="39">
        <v>203040930</v>
      </c>
      <c r="E112" s="31">
        <v>134887150</v>
      </c>
      <c r="F112" s="39">
        <v>164007353</v>
      </c>
      <c r="G112" s="31">
        <v>147317590</v>
      </c>
      <c r="H112" s="39">
        <v>146096915</v>
      </c>
      <c r="I112" s="31">
        <v>138220444</v>
      </c>
      <c r="J112" s="39">
        <v>429776107</v>
      </c>
      <c r="K112" s="31">
        <v>147996000</v>
      </c>
      <c r="L112" s="39">
        <v>619496000</v>
      </c>
      <c r="M112" s="31">
        <v>259838880</v>
      </c>
    </row>
    <row r="113" spans="1:18" ht="15.75" customHeight="1" outlineLevel="1" x14ac:dyDescent="0.2">
      <c r="A113" s="18" t="s">
        <v>66</v>
      </c>
      <c r="B113" s="39">
        <v>533872434</v>
      </c>
      <c r="C113" s="31">
        <v>526093488</v>
      </c>
      <c r="D113" s="39">
        <v>27820028</v>
      </c>
      <c r="E113" s="31">
        <v>572892</v>
      </c>
      <c r="F113" s="39">
        <v>3157537</v>
      </c>
      <c r="G113" s="31">
        <v>321584</v>
      </c>
      <c r="H113" s="39">
        <v>3597000</v>
      </c>
      <c r="I113" s="31">
        <v>282573</v>
      </c>
      <c r="J113" s="39">
        <v>4900000</v>
      </c>
      <c r="K113" s="31">
        <v>653870</v>
      </c>
      <c r="L113" s="39">
        <v>4564000</v>
      </c>
      <c r="M113" s="31">
        <v>1586759</v>
      </c>
    </row>
    <row r="114" spans="1:18" ht="15.75" customHeight="1" outlineLevel="1" x14ac:dyDescent="0.2">
      <c r="A114" s="18" t="s">
        <v>23</v>
      </c>
      <c r="B114" s="39">
        <v>5000000</v>
      </c>
      <c r="C114" s="31">
        <v>0</v>
      </c>
      <c r="D114" s="39"/>
      <c r="E114" s="31"/>
      <c r="F114" s="39"/>
      <c r="G114" s="31"/>
      <c r="H114" s="39"/>
      <c r="I114" s="31"/>
      <c r="J114" s="39"/>
      <c r="K114" s="31"/>
      <c r="L114" s="39"/>
      <c r="M114" s="31"/>
    </row>
    <row r="115" spans="1:18" ht="15.75" customHeight="1" outlineLevel="1" x14ac:dyDescent="0.2">
      <c r="A115" s="18" t="s">
        <v>67</v>
      </c>
      <c r="B115" s="39">
        <v>319950251</v>
      </c>
      <c r="C115" s="31">
        <v>0</v>
      </c>
      <c r="D115" s="39">
        <v>404775994</v>
      </c>
      <c r="E115" s="31">
        <v>7991840</v>
      </c>
      <c r="F115" s="39">
        <v>59051916</v>
      </c>
      <c r="G115" s="31">
        <v>5020000</v>
      </c>
      <c r="H115" s="39">
        <v>123303381</v>
      </c>
      <c r="I115" s="31">
        <v>0</v>
      </c>
      <c r="J115" s="39">
        <v>830407956</v>
      </c>
      <c r="K115" s="31">
        <v>0</v>
      </c>
      <c r="L115" s="39">
        <v>349062182</v>
      </c>
      <c r="M115" s="31">
        <v>16089331</v>
      </c>
      <c r="P115" s="40"/>
    </row>
    <row r="116" spans="1:18" ht="15.75" customHeight="1" outlineLevel="1" x14ac:dyDescent="0.2">
      <c r="A116" s="18" t="s">
        <v>68</v>
      </c>
      <c r="B116" s="39">
        <v>183309100</v>
      </c>
      <c r="C116" s="31">
        <v>111483055</v>
      </c>
      <c r="D116" s="39">
        <v>112000000</v>
      </c>
      <c r="E116" s="31">
        <v>61310866</v>
      </c>
      <c r="F116" s="39">
        <v>90000000</v>
      </c>
      <c r="G116" s="31">
        <v>81709329</v>
      </c>
      <c r="H116" s="39">
        <v>366000000</v>
      </c>
      <c r="I116" s="31">
        <v>318672331</v>
      </c>
      <c r="J116" s="39">
        <v>5000000</v>
      </c>
      <c r="K116" s="31">
        <v>0</v>
      </c>
      <c r="L116" s="39">
        <v>2610060</v>
      </c>
      <c r="M116" s="31">
        <v>0</v>
      </c>
      <c r="P116" s="40"/>
    </row>
    <row r="117" spans="1:18" ht="15.75" customHeight="1" outlineLevel="1" x14ac:dyDescent="0.2">
      <c r="A117" s="18" t="s">
        <v>69</v>
      </c>
      <c r="B117" s="39">
        <v>4244000</v>
      </c>
      <c r="C117" s="31">
        <v>1973864</v>
      </c>
      <c r="D117" s="39">
        <v>2008000</v>
      </c>
      <c r="E117" s="31">
        <v>2008000</v>
      </c>
      <c r="F117" s="39"/>
      <c r="G117" s="31"/>
      <c r="H117" s="39">
        <v>289152</v>
      </c>
      <c r="I117" s="31">
        <v>289152</v>
      </c>
      <c r="J117" s="39">
        <v>41346800</v>
      </c>
      <c r="K117" s="31">
        <v>41346800</v>
      </c>
      <c r="L117" s="39"/>
      <c r="M117" s="31"/>
      <c r="P117" s="40"/>
    </row>
    <row r="118" spans="1:18" ht="15.75" customHeight="1" outlineLevel="1" x14ac:dyDescent="0.2">
      <c r="A118" s="18" t="s">
        <v>70</v>
      </c>
      <c r="B118" s="39">
        <v>32691197</v>
      </c>
      <c r="C118" s="31">
        <v>30722401</v>
      </c>
      <c r="D118" s="39">
        <v>36818419</v>
      </c>
      <c r="E118" s="31">
        <v>30119998</v>
      </c>
      <c r="F118" s="39">
        <v>46896540</v>
      </c>
      <c r="G118" s="31">
        <v>31606636</v>
      </c>
      <c r="H118" s="39">
        <v>39136824</v>
      </c>
      <c r="I118" s="31">
        <v>34079508</v>
      </c>
      <c r="J118" s="39">
        <v>960000000</v>
      </c>
      <c r="K118" s="31">
        <v>358628800</v>
      </c>
      <c r="L118" s="39">
        <v>83400000</v>
      </c>
      <c r="M118" s="31">
        <v>37951200</v>
      </c>
      <c r="P118" s="40"/>
    </row>
    <row r="119" spans="1:18" ht="15.75" customHeight="1" outlineLevel="1" x14ac:dyDescent="0.2">
      <c r="A119" s="18" t="s">
        <v>71</v>
      </c>
      <c r="B119" s="39">
        <v>1319717054</v>
      </c>
      <c r="C119" s="31">
        <v>0</v>
      </c>
      <c r="D119" s="39"/>
      <c r="E119" s="31"/>
      <c r="F119" s="39">
        <v>663028721</v>
      </c>
      <c r="G119" s="31">
        <v>0</v>
      </c>
      <c r="H119" s="39">
        <v>98997991</v>
      </c>
      <c r="I119" s="31">
        <v>0</v>
      </c>
      <c r="J119" s="39">
        <v>87224316</v>
      </c>
      <c r="K119" s="31">
        <v>0</v>
      </c>
      <c r="L119" s="39">
        <v>4414014129</v>
      </c>
      <c r="M119" s="31">
        <v>0</v>
      </c>
      <c r="P119" s="40"/>
      <c r="Q119" s="40"/>
    </row>
    <row r="120" spans="1:18" ht="15.75" customHeight="1" outlineLevel="1" x14ac:dyDescent="0.2">
      <c r="A120" s="18" t="s">
        <v>72</v>
      </c>
      <c r="B120" s="39"/>
      <c r="C120" s="31"/>
      <c r="D120" s="39">
        <v>4100000</v>
      </c>
      <c r="E120" s="31">
        <v>4062184</v>
      </c>
      <c r="F120" s="39">
        <v>2000000</v>
      </c>
      <c r="G120" s="31">
        <v>0</v>
      </c>
      <c r="H120" s="39"/>
      <c r="I120" s="31"/>
      <c r="J120" s="39"/>
      <c r="K120" s="31"/>
      <c r="L120" s="39"/>
      <c r="M120" s="31"/>
      <c r="P120" s="40"/>
      <c r="Q120" s="40"/>
    </row>
    <row r="121" spans="1:18" ht="15.75" customHeight="1" outlineLevel="1" x14ac:dyDescent="0.2">
      <c r="A121" s="18" t="s">
        <v>73</v>
      </c>
      <c r="B121" s="39"/>
      <c r="C121" s="31"/>
      <c r="D121" s="39"/>
      <c r="E121" s="31"/>
      <c r="F121" s="39"/>
      <c r="G121" s="31"/>
      <c r="H121" s="39">
        <v>17670</v>
      </c>
      <c r="I121" s="31">
        <v>17670</v>
      </c>
      <c r="J121" s="39"/>
      <c r="K121" s="31"/>
      <c r="L121" s="39">
        <v>2000000</v>
      </c>
      <c r="M121" s="31">
        <v>0</v>
      </c>
      <c r="P121" s="40"/>
      <c r="Q121" s="40"/>
    </row>
    <row r="122" spans="1:18" ht="15.75" customHeight="1" outlineLevel="1" x14ac:dyDescent="0.2">
      <c r="A122" s="18" t="s">
        <v>74</v>
      </c>
      <c r="B122" s="39"/>
      <c r="C122" s="31"/>
      <c r="D122" s="39"/>
      <c r="E122" s="31"/>
      <c r="F122" s="39"/>
      <c r="G122" s="31"/>
      <c r="H122" s="39"/>
      <c r="I122" s="31"/>
      <c r="J122" s="39"/>
      <c r="K122" s="31"/>
      <c r="L122" s="39">
        <v>23850020</v>
      </c>
      <c r="M122" s="31">
        <v>23850020</v>
      </c>
      <c r="P122" s="40"/>
      <c r="Q122" s="40"/>
      <c r="R122" s="40"/>
    </row>
    <row r="123" spans="1:18" ht="15.75" customHeight="1" x14ac:dyDescent="0.2">
      <c r="A123" s="1" t="s">
        <v>75</v>
      </c>
      <c r="B123" s="2">
        <f t="shared" ref="B123:M123" si="20">SUM(B124:B132)</f>
        <v>5806903511</v>
      </c>
      <c r="C123" s="3">
        <f t="shared" si="20"/>
        <v>1736088989</v>
      </c>
      <c r="D123" s="2">
        <f t="shared" si="20"/>
        <v>2061687213</v>
      </c>
      <c r="E123" s="3">
        <f t="shared" si="20"/>
        <v>930055583</v>
      </c>
      <c r="F123" s="2">
        <f t="shared" si="20"/>
        <v>2118576199</v>
      </c>
      <c r="G123" s="3">
        <f t="shared" si="20"/>
        <v>1402309390</v>
      </c>
      <c r="H123" s="2">
        <f t="shared" si="20"/>
        <v>1659422581</v>
      </c>
      <c r="I123" s="3">
        <f t="shared" si="20"/>
        <v>930453391</v>
      </c>
      <c r="J123" s="2">
        <f t="shared" si="20"/>
        <v>2159556154</v>
      </c>
      <c r="K123" s="3">
        <f t="shared" si="20"/>
        <v>201232825</v>
      </c>
      <c r="L123" s="2">
        <f t="shared" si="20"/>
        <v>1439671073</v>
      </c>
      <c r="M123" s="3">
        <f t="shared" si="20"/>
        <v>205769147</v>
      </c>
      <c r="P123" s="40"/>
      <c r="Q123" s="40"/>
      <c r="R123" s="40"/>
    </row>
    <row r="124" spans="1:18" ht="15.75" customHeight="1" outlineLevel="1" x14ac:dyDescent="0.2">
      <c r="A124" s="18" t="s">
        <v>76</v>
      </c>
      <c r="B124" s="41">
        <v>282692828</v>
      </c>
      <c r="C124" s="42">
        <v>121785200</v>
      </c>
      <c r="D124" s="41">
        <v>283035600</v>
      </c>
      <c r="E124" s="42">
        <v>155228440</v>
      </c>
      <c r="F124" s="41">
        <v>656855740</v>
      </c>
      <c r="G124" s="42">
        <v>619855740</v>
      </c>
      <c r="H124" s="41">
        <v>690796785</v>
      </c>
      <c r="I124" s="42">
        <v>611081118</v>
      </c>
      <c r="J124" s="41">
        <v>492600000</v>
      </c>
      <c r="K124" s="42">
        <v>186172825</v>
      </c>
      <c r="L124" s="41">
        <v>419700000</v>
      </c>
      <c r="M124" s="42">
        <v>205769147</v>
      </c>
      <c r="P124" s="40"/>
      <c r="R124" s="40"/>
    </row>
    <row r="125" spans="1:18" ht="15.75" customHeight="1" outlineLevel="1" x14ac:dyDescent="0.2">
      <c r="A125" s="18" t="s">
        <v>77</v>
      </c>
      <c r="B125" s="41">
        <v>751909022</v>
      </c>
      <c r="C125" s="42">
        <v>465748928</v>
      </c>
      <c r="D125" s="41">
        <v>579718028</v>
      </c>
      <c r="E125" s="42">
        <v>440937259</v>
      </c>
      <c r="F125" s="41">
        <v>588185474</v>
      </c>
      <c r="G125" s="42">
        <v>372986465</v>
      </c>
      <c r="H125" s="41">
        <v>130388338</v>
      </c>
      <c r="I125" s="42">
        <v>98910668</v>
      </c>
      <c r="J125" s="41">
        <v>67000000</v>
      </c>
      <c r="K125" s="42">
        <v>15060000</v>
      </c>
      <c r="L125" s="41">
        <v>6000000</v>
      </c>
      <c r="M125" s="42">
        <v>0</v>
      </c>
      <c r="P125" s="40"/>
      <c r="Q125" s="40"/>
      <c r="R125" s="40"/>
    </row>
    <row r="126" spans="1:18" ht="15.75" customHeight="1" outlineLevel="1" x14ac:dyDescent="0.2">
      <c r="A126" s="18" t="s">
        <v>78</v>
      </c>
      <c r="B126" s="41">
        <v>108404971</v>
      </c>
      <c r="C126" s="42">
        <v>33039656</v>
      </c>
      <c r="D126" s="41">
        <v>112699600</v>
      </c>
      <c r="E126" s="42">
        <v>49741537</v>
      </c>
      <c r="F126" s="41">
        <v>98067538</v>
      </c>
      <c r="G126" s="42">
        <v>17150032</v>
      </c>
      <c r="H126" s="41"/>
      <c r="I126" s="42"/>
      <c r="J126" s="41"/>
      <c r="K126" s="42"/>
      <c r="L126" s="41"/>
      <c r="M126" s="42"/>
      <c r="Q126" s="40"/>
      <c r="R126" s="40"/>
    </row>
    <row r="127" spans="1:18" ht="15.75" customHeight="1" outlineLevel="1" x14ac:dyDescent="0.2">
      <c r="A127" s="18" t="s">
        <v>79</v>
      </c>
      <c r="B127" s="41">
        <v>177875729</v>
      </c>
      <c r="C127" s="42">
        <v>0</v>
      </c>
      <c r="D127" s="41">
        <v>186740438</v>
      </c>
      <c r="E127" s="42">
        <v>0</v>
      </c>
      <c r="F127" s="41"/>
      <c r="G127" s="42"/>
      <c r="H127" s="41">
        <v>230306625</v>
      </c>
      <c r="I127" s="42">
        <v>0</v>
      </c>
      <c r="J127" s="41">
        <v>780456154</v>
      </c>
      <c r="K127" s="42">
        <v>0</v>
      </c>
      <c r="L127" s="41">
        <v>314784385</v>
      </c>
      <c r="M127" s="42">
        <v>0</v>
      </c>
      <c r="Q127" s="40"/>
      <c r="R127" s="40"/>
    </row>
    <row r="128" spans="1:18" ht="15.75" customHeight="1" outlineLevel="1" x14ac:dyDescent="0.2">
      <c r="A128" s="18" t="s">
        <v>80</v>
      </c>
      <c r="B128" s="41">
        <v>1408714870</v>
      </c>
      <c r="C128" s="42">
        <v>1115515205</v>
      </c>
      <c r="D128" s="41">
        <v>499493547</v>
      </c>
      <c r="E128" s="42">
        <v>284148347</v>
      </c>
      <c r="F128" s="41">
        <v>421888554</v>
      </c>
      <c r="G128" s="42">
        <v>341955153</v>
      </c>
      <c r="H128" s="41">
        <v>89428278</v>
      </c>
      <c r="I128" s="42">
        <v>89428278</v>
      </c>
      <c r="J128" s="41"/>
      <c r="K128" s="42"/>
      <c r="L128" s="41"/>
      <c r="M128" s="42"/>
      <c r="Q128" s="40"/>
    </row>
    <row r="129" spans="1:19" ht="15.75" customHeight="1" outlineLevel="1" x14ac:dyDescent="0.2">
      <c r="A129" s="18" t="s">
        <v>81</v>
      </c>
      <c r="B129" s="41">
        <v>20098359</v>
      </c>
      <c r="C129" s="42">
        <v>0</v>
      </c>
      <c r="D129" s="41"/>
      <c r="E129" s="42"/>
      <c r="F129" s="41">
        <v>50362000</v>
      </c>
      <c r="G129" s="42">
        <v>50362000</v>
      </c>
      <c r="H129" s="41">
        <v>131033327</v>
      </c>
      <c r="I129" s="42">
        <v>131033327</v>
      </c>
      <c r="J129" s="41"/>
      <c r="K129" s="42"/>
      <c r="L129" s="41"/>
      <c r="M129" s="42"/>
      <c r="Q129" s="40"/>
      <c r="S129" s="29"/>
    </row>
    <row r="130" spans="1:19" ht="15.75" customHeight="1" outlineLevel="1" x14ac:dyDescent="0.2">
      <c r="A130" s="18" t="s">
        <v>82</v>
      </c>
      <c r="B130" s="41">
        <v>1444000</v>
      </c>
      <c r="C130" s="42">
        <v>0</v>
      </c>
      <c r="D130" s="41"/>
      <c r="E130" s="42"/>
      <c r="F130" s="41"/>
      <c r="G130" s="42"/>
      <c r="H130" s="41"/>
      <c r="I130" s="42"/>
      <c r="J130" s="41"/>
      <c r="K130" s="42"/>
      <c r="L130" s="41">
        <v>55000000</v>
      </c>
      <c r="M130" s="42">
        <v>0</v>
      </c>
      <c r="Q130" s="40"/>
    </row>
    <row r="131" spans="1:19" ht="15.75" customHeight="1" outlineLevel="1" x14ac:dyDescent="0.2">
      <c r="A131" s="18" t="s">
        <v>83</v>
      </c>
      <c r="B131" s="43"/>
      <c r="C131" s="42"/>
      <c r="D131" s="43"/>
      <c r="E131" s="42"/>
      <c r="F131" s="43"/>
      <c r="G131" s="42"/>
      <c r="H131" s="43"/>
      <c r="I131" s="42"/>
      <c r="J131" s="43">
        <v>137500000</v>
      </c>
      <c r="K131" s="42">
        <v>0</v>
      </c>
      <c r="L131" s="43"/>
      <c r="M131" s="42"/>
      <c r="Q131" s="40"/>
    </row>
    <row r="132" spans="1:19" ht="15.75" customHeight="1" outlineLevel="1" x14ac:dyDescent="0.2">
      <c r="A132" s="18" t="s">
        <v>84</v>
      </c>
      <c r="B132" s="39">
        <v>3055763732</v>
      </c>
      <c r="C132" s="42"/>
      <c r="D132" s="39">
        <v>400000000</v>
      </c>
      <c r="E132" s="42"/>
      <c r="F132" s="39">
        <v>303216893</v>
      </c>
      <c r="G132" s="42"/>
      <c r="H132" s="39">
        <v>387469228</v>
      </c>
      <c r="I132" s="42"/>
      <c r="J132" s="39">
        <v>682000000</v>
      </c>
      <c r="K132" s="42"/>
      <c r="L132" s="39">
        <v>644186688</v>
      </c>
      <c r="M132" s="42"/>
      <c r="Q132" s="40"/>
    </row>
    <row r="133" spans="1:19" ht="15.75" customHeight="1" x14ac:dyDescent="0.2">
      <c r="A133" s="1" t="s">
        <v>85</v>
      </c>
      <c r="B133" s="2"/>
      <c r="C133" s="3"/>
      <c r="D133" s="2">
        <f t="shared" ref="D133:M133" si="21">SUM(D134:D140)</f>
        <v>729537161</v>
      </c>
      <c r="E133" s="3">
        <f t="shared" si="21"/>
        <v>437307718</v>
      </c>
      <c r="F133" s="2">
        <f t="shared" si="21"/>
        <v>519199424</v>
      </c>
      <c r="G133" s="3">
        <f t="shared" si="21"/>
        <v>387696548</v>
      </c>
      <c r="H133" s="2">
        <f t="shared" si="21"/>
        <v>1885123000</v>
      </c>
      <c r="I133" s="3">
        <f t="shared" si="21"/>
        <v>1159990734</v>
      </c>
      <c r="J133" s="2">
        <f t="shared" si="21"/>
        <v>1939400000</v>
      </c>
      <c r="K133" s="3">
        <f t="shared" si="21"/>
        <v>1131362997</v>
      </c>
      <c r="L133" s="2">
        <f t="shared" si="21"/>
        <v>1777712793</v>
      </c>
      <c r="M133" s="3">
        <f t="shared" si="21"/>
        <v>1594173897</v>
      </c>
    </row>
    <row r="134" spans="1:19" ht="15.75" customHeight="1" outlineLevel="1" x14ac:dyDescent="0.2">
      <c r="A134" s="18" t="s">
        <v>86</v>
      </c>
      <c r="B134" s="2"/>
      <c r="C134" s="3"/>
      <c r="D134" s="2">
        <v>310163684</v>
      </c>
      <c r="E134" s="3">
        <v>225679527</v>
      </c>
      <c r="F134" s="2">
        <v>309047286</v>
      </c>
      <c r="G134" s="3">
        <v>259168147</v>
      </c>
      <c r="H134" s="2">
        <v>1244339000</v>
      </c>
      <c r="I134" s="3">
        <v>939457194</v>
      </c>
      <c r="J134" s="2">
        <v>1515400000</v>
      </c>
      <c r="K134" s="3">
        <v>980159197</v>
      </c>
      <c r="L134" s="2">
        <v>1311541256</v>
      </c>
      <c r="M134" s="3">
        <v>1286486238</v>
      </c>
    </row>
    <row r="135" spans="1:19" ht="15.75" customHeight="1" outlineLevel="1" x14ac:dyDescent="0.2">
      <c r="A135" s="18" t="s">
        <v>87</v>
      </c>
      <c r="B135" s="2"/>
      <c r="C135" s="3"/>
      <c r="D135" s="2">
        <v>117509245</v>
      </c>
      <c r="E135" s="3">
        <v>40140825</v>
      </c>
      <c r="F135" s="2">
        <v>42902301</v>
      </c>
      <c r="G135" s="3">
        <v>20523437</v>
      </c>
      <c r="H135" s="2">
        <v>101000000</v>
      </c>
      <c r="I135" s="3">
        <v>12635561</v>
      </c>
      <c r="J135" s="2">
        <v>70000000</v>
      </c>
      <c r="K135" s="3">
        <v>2296349</v>
      </c>
      <c r="L135" s="2">
        <v>40000000</v>
      </c>
      <c r="M135" s="3">
        <v>0</v>
      </c>
    </row>
    <row r="136" spans="1:19" ht="15.75" customHeight="1" outlineLevel="1" x14ac:dyDescent="0.2">
      <c r="A136" s="18" t="s">
        <v>88</v>
      </c>
      <c r="B136" s="2"/>
      <c r="C136" s="3"/>
      <c r="D136" s="2">
        <v>214500308</v>
      </c>
      <c r="E136" s="3">
        <v>110034761</v>
      </c>
      <c r="F136" s="2">
        <v>157465547</v>
      </c>
      <c r="G136" s="3">
        <v>107979888</v>
      </c>
      <c r="H136" s="2">
        <v>521000000</v>
      </c>
      <c r="I136" s="3">
        <v>207853395</v>
      </c>
      <c r="J136" s="2">
        <v>324000000</v>
      </c>
      <c r="K136" s="3">
        <v>148820843</v>
      </c>
      <c r="L136" s="2">
        <v>416171537</v>
      </c>
      <c r="M136" s="3">
        <v>307636011</v>
      </c>
    </row>
    <row r="137" spans="1:19" ht="15.75" customHeight="1" outlineLevel="1" x14ac:dyDescent="0.2">
      <c r="A137" s="18" t="s">
        <v>89</v>
      </c>
      <c r="B137" s="2"/>
      <c r="C137" s="3"/>
      <c r="D137" s="2">
        <v>10000000</v>
      </c>
      <c r="E137" s="3">
        <v>318879</v>
      </c>
      <c r="F137" s="2">
        <v>9681121</v>
      </c>
      <c r="G137" s="3">
        <v>25076</v>
      </c>
      <c r="H137" s="2">
        <v>10000000</v>
      </c>
      <c r="I137" s="3">
        <v>44584</v>
      </c>
      <c r="J137" s="2">
        <v>10000000</v>
      </c>
      <c r="K137" s="3">
        <v>86608</v>
      </c>
      <c r="L137" s="2">
        <v>10000000</v>
      </c>
      <c r="M137" s="3">
        <v>51648</v>
      </c>
    </row>
    <row r="138" spans="1:19" ht="15.75" customHeight="1" outlineLevel="1" x14ac:dyDescent="0.2">
      <c r="A138" s="18" t="s">
        <v>90</v>
      </c>
      <c r="B138" s="2"/>
      <c r="C138" s="3"/>
      <c r="D138" s="2">
        <v>76385600</v>
      </c>
      <c r="E138" s="3">
        <v>60772688</v>
      </c>
      <c r="F138" s="2"/>
      <c r="G138" s="3"/>
      <c r="H138" s="2">
        <v>5084000</v>
      </c>
      <c r="I138" s="3">
        <v>0</v>
      </c>
      <c r="J138" s="2">
        <v>20000000</v>
      </c>
      <c r="K138" s="3">
        <v>0</v>
      </c>
      <c r="L138" s="2"/>
      <c r="M138" s="3"/>
    </row>
    <row r="139" spans="1:19" ht="15.75" customHeight="1" outlineLevel="1" x14ac:dyDescent="0.2">
      <c r="A139" s="18" t="s">
        <v>91</v>
      </c>
      <c r="B139" s="2"/>
      <c r="C139" s="3"/>
      <c r="D139" s="2">
        <v>364000</v>
      </c>
      <c r="E139" s="3">
        <v>361038</v>
      </c>
      <c r="F139" s="2"/>
      <c r="G139" s="3"/>
      <c r="H139" s="2"/>
      <c r="I139" s="3"/>
      <c r="J139" s="2"/>
      <c r="K139" s="3"/>
      <c r="L139" s="2"/>
      <c r="M139" s="3"/>
    </row>
    <row r="140" spans="1:19" ht="15.75" customHeight="1" outlineLevel="1" x14ac:dyDescent="0.2">
      <c r="A140" s="44" t="s">
        <v>92</v>
      </c>
      <c r="B140" s="45"/>
      <c r="C140" s="46"/>
      <c r="D140" s="47">
        <v>614324</v>
      </c>
      <c r="E140" s="48">
        <v>0</v>
      </c>
      <c r="F140" s="47">
        <v>103169</v>
      </c>
      <c r="G140" s="48">
        <v>0</v>
      </c>
      <c r="H140" s="47">
        <v>3700000</v>
      </c>
      <c r="I140" s="48">
        <v>0</v>
      </c>
      <c r="J140" s="47"/>
      <c r="K140" s="48"/>
      <c r="L140" s="47"/>
      <c r="M140" s="48"/>
      <c r="P140" s="40"/>
    </row>
  </sheetData>
  <mergeCells count="8">
    <mergeCell ref="F3:G3"/>
    <mergeCell ref="L3:M3"/>
    <mergeCell ref="J3:K3"/>
    <mergeCell ref="A1:M2"/>
    <mergeCell ref="B3:C3"/>
    <mergeCell ref="A3:A4"/>
    <mergeCell ref="D3:E3"/>
    <mergeCell ref="H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Lucio Muñoz Adarme</dc:creator>
  <cp:lastModifiedBy>Maria Jimena Lopez Munevar</cp:lastModifiedBy>
  <dcterms:created xsi:type="dcterms:W3CDTF">2024-12-12T06:38:20Z</dcterms:created>
  <dcterms:modified xsi:type="dcterms:W3CDTF">2026-10-13T16:08:12Z</dcterms:modified>
</cp:coreProperties>
</file>