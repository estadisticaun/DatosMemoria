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??_-;_-@_-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4" fontId="1" fillId="0" borderId="0"/>
  </cellStyleXfs>
  <cellXfs count="58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3" fillId="3" borderId="7" pivotButton="0" quotePrefix="0" xfId="0"/>
    <xf numFmtId="164" fontId="5" fillId="3" borderId="7" pivotButton="0" quotePrefix="0" xfId="0"/>
    <xf numFmtId="164" fontId="5" fillId="3" borderId="8" pivotButton="0" quotePrefix="0" xfId="0"/>
    <xf numFmtId="0" fontId="6" fillId="4" borderId="7" pivotButton="0" quotePrefix="1" xfId="0"/>
    <xf numFmtId="164" fontId="6" fillId="4" borderId="7" pivotButton="0" quotePrefix="0" xfId="0"/>
    <xf numFmtId="164" fontId="6" fillId="4" borderId="8" pivotButton="0" quotePrefix="0" xfId="0"/>
    <xf numFmtId="0" fontId="3" fillId="5" borderId="4" pivotButton="0" quotePrefix="0" xfId="0"/>
    <xf numFmtId="164" fontId="3" fillId="5" borderId="7" pivotButton="0" quotePrefix="0" xfId="0"/>
    <xf numFmtId="164" fontId="3" fillId="5" borderId="5" pivotButton="0" quotePrefix="0" xfId="0"/>
    <xf numFmtId="164" fontId="3" fillId="5" borderId="6" pivotButton="0" quotePrefix="0" xfId="0"/>
    <xf numFmtId="0" fontId="0" fillId="0" borderId="9" pivotButton="0" quotePrefix="0" xfId="0"/>
    <xf numFmtId="164" fontId="0" fillId="0" borderId="1" pivotButton="0" quotePrefix="0" xfId="1"/>
    <xf numFmtId="164" fontId="0" fillId="0" borderId="3" pivotButton="0" quotePrefix="0" xfId="1"/>
    <xf numFmtId="0" fontId="0" fillId="0" borderId="10" applyAlignment="1" pivotButton="0" quotePrefix="0" xfId="0">
      <alignment horizontal="left" vertical="center" wrapText="1" indent="3"/>
    </xf>
    <xf numFmtId="164" fontId="0" fillId="0" borderId="11" applyAlignment="1" pivotButton="0" quotePrefix="0" xfId="1">
      <alignment horizontal="left" vertical="center" wrapText="1" indent="3"/>
    </xf>
    <xf numFmtId="164" fontId="0" fillId="0" borderId="12" applyAlignment="1" pivotButton="0" quotePrefix="0" xfId="1">
      <alignment horizontal="left" vertical="center" wrapText="1" indent="3"/>
    </xf>
    <xf numFmtId="0" fontId="0" fillId="0" borderId="0" applyAlignment="1" pivotButton="0" quotePrefix="0" xfId="0">
      <alignment vertical="center" wrapText="1"/>
    </xf>
    <xf numFmtId="0" fontId="0" fillId="0" borderId="10" pivotButton="0" quotePrefix="0" xfId="0"/>
    <xf numFmtId="164" fontId="0" fillId="0" borderId="11" pivotButton="0" quotePrefix="0" xfId="1"/>
    <xf numFmtId="164" fontId="0" fillId="0" borderId="12" pivotButton="0" quotePrefix="0" xfId="1"/>
    <xf numFmtId="0" fontId="0" fillId="0" borderId="10" applyAlignment="1" pivotButton="0" quotePrefix="0" xfId="1">
      <alignment horizontal="left" vertical="center" wrapText="1" indent="3"/>
    </xf>
    <xf numFmtId="164" fontId="0" fillId="0" borderId="11" applyAlignment="1" pivotButton="0" quotePrefix="0" xfId="1">
      <alignment horizontal="left" indent="3"/>
    </xf>
    <xf numFmtId="164" fontId="0" fillId="0" borderId="12" applyAlignment="1" pivotButton="0" quotePrefix="0" xfId="1">
      <alignment horizontal="left" indent="3"/>
    </xf>
    <xf numFmtId="164" fontId="3" fillId="5" borderId="8" pivotButton="0" quotePrefix="0" xfId="0"/>
    <xf numFmtId="0" fontId="0" fillId="0" borderId="11" pivotButton="0" quotePrefix="0" xfId="0"/>
    <xf numFmtId="0" fontId="0" fillId="0" borderId="11" applyAlignment="1" pivotButton="0" quotePrefix="0" xfId="0">
      <alignment horizontal="left" indent="3"/>
    </xf>
    <xf numFmtId="0" fontId="0" fillId="0" borderId="11" applyAlignment="1" pivotButton="0" quotePrefix="0" xfId="0">
      <alignment horizontal="left" vertical="center" wrapText="1" indent="3"/>
    </xf>
    <xf numFmtId="0" fontId="0" fillId="0" borderId="12" pivotButton="0" quotePrefix="0" xfId="0"/>
    <xf numFmtId="0" fontId="0" fillId="0" borderId="1" pivotButton="0" quotePrefix="0" xfId="0"/>
    <xf numFmtId="0" fontId="0" fillId="0" borderId="4" applyAlignment="1" pivotButton="0" quotePrefix="0" xfId="0">
      <alignment horizontal="left" indent="3"/>
    </xf>
    <xf numFmtId="164" fontId="0" fillId="0" borderId="4" applyAlignment="1" pivotButton="0" quotePrefix="0" xfId="1">
      <alignment horizontal="left" indent="3"/>
    </xf>
    <xf numFmtId="164" fontId="0" fillId="0" borderId="6" applyAlignment="1" pivotButton="0" quotePrefix="0" xfId="1">
      <alignment horizontal="left" indent="3"/>
    </xf>
    <xf numFmtId="0" fontId="0" fillId="0" borderId="11" applyAlignment="1" pivotButton="0" quotePrefix="0" xfId="0">
      <alignment horizontal="left" vertical="center" indent="3"/>
    </xf>
    <xf numFmtId="164" fontId="0" fillId="0" borderId="11" applyAlignment="1" pivotButton="0" quotePrefix="0" xfId="1">
      <alignment horizontal="left" vertical="center" indent="3"/>
    </xf>
    <xf numFmtId="0" fontId="0" fillId="0" borderId="13" applyAlignment="1" pivotButton="0" quotePrefix="0" xfId="0">
      <alignment horizontal="left" vertical="center" indent="3"/>
    </xf>
    <xf numFmtId="0" fontId="0" fillId="0" borderId="10" applyAlignment="1" pivotButton="0" quotePrefix="0" xfId="1">
      <alignment horizontal="left" vertical="center" indent="3"/>
    </xf>
    <xf numFmtId="164" fontId="0" fillId="0" borderId="10" applyAlignment="1" pivotButton="0" quotePrefix="0" xfId="1">
      <alignment horizontal="left" vertical="center" indent="3"/>
    </xf>
    <xf numFmtId="0" fontId="0" fillId="0" borderId="10" applyAlignment="1" pivotButton="0" quotePrefix="0" xfId="0">
      <alignment horizontal="left" vertical="center" indent="3"/>
    </xf>
    <xf numFmtId="0" fontId="4" fillId="0" borderId="1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2" borderId="7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tabSelected="1" workbookViewId="0">
      <selection activeCell="B7" sqref="B7"/>
    </sheetView>
  </sheetViews>
  <sheetFormatPr baseColWidth="10" defaultColWidth="0" defaultRowHeight="15" zeroHeight="1" outlineLevelRow="1"/>
  <cols>
    <col width="39.140625" customWidth="1" min="1" max="1"/>
    <col width="21.5703125" bestFit="1" customWidth="1" min="2" max="5"/>
    <col width="23" bestFit="1" customWidth="1" min="6" max="6"/>
    <col width="21.5703125" bestFit="1" customWidth="1" min="7" max="7"/>
    <col width="23" bestFit="1" customWidth="1" min="8" max="10"/>
    <col width="21.5703125" bestFit="1" customWidth="1" min="11" max="11"/>
    <col width="23" bestFit="1" customWidth="1" min="12" max="12"/>
    <col width="21.5703125" bestFit="1" customWidth="1" min="13" max="13"/>
    <col hidden="1" width="11.42578125" customWidth="1" min="21" max="16384"/>
  </cols>
  <sheetData>
    <row r="1">
      <c r="A1" s="50" t="inlineStr">
        <is>
          <t>UNIDAD GESTION GENERAL SAN ANDRES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2" t="n"/>
    </row>
    <row r="2">
      <c r="A2" s="53" t="n"/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5" t="n"/>
    </row>
    <row r="3">
      <c r="A3" s="56" t="inlineStr">
        <is>
          <t>CONCEPTO</t>
        </is>
      </c>
      <c r="B3" s="57" t="n">
        <v>2016</v>
      </c>
      <c r="C3" s="52" t="n"/>
      <c r="D3" s="57" t="n">
        <v>2017</v>
      </c>
      <c r="E3" s="52" t="n"/>
      <c r="F3" s="57" t="n">
        <v>2018</v>
      </c>
      <c r="G3" s="52" t="n"/>
      <c r="H3" s="57" t="n">
        <v>2019</v>
      </c>
      <c r="I3" s="52" t="n"/>
      <c r="J3" s="57" t="n">
        <v>2020</v>
      </c>
      <c r="K3" s="52" t="n"/>
      <c r="L3" s="57" t="n">
        <v>2021</v>
      </c>
      <c r="M3" s="52" t="n"/>
    </row>
    <row r="4">
      <c r="A4" s="53" t="n"/>
      <c r="B4" s="10" t="inlineStr">
        <is>
          <t>Apropiación definitiva</t>
        </is>
      </c>
      <c r="C4" s="11" t="inlineStr">
        <is>
          <t>Registro</t>
        </is>
      </c>
      <c r="D4" s="10" t="inlineStr">
        <is>
          <t>Apropiación definitiva</t>
        </is>
      </c>
      <c r="E4" s="11" t="inlineStr">
        <is>
          <t>Registro</t>
        </is>
      </c>
      <c r="F4" s="10" t="inlineStr">
        <is>
          <t>Apropiación definitiva</t>
        </is>
      </c>
      <c r="G4" s="11" t="inlineStr">
        <is>
          <t>Registro</t>
        </is>
      </c>
      <c r="H4" s="10" t="inlineStr">
        <is>
          <t>Apropiación definitiva</t>
        </is>
      </c>
      <c r="I4" s="11" t="inlineStr">
        <is>
          <t>Registro</t>
        </is>
      </c>
      <c r="J4" s="10" t="inlineStr">
        <is>
          <t>Apropiación definitiva</t>
        </is>
      </c>
      <c r="K4" s="11" t="inlineStr">
        <is>
          <t>Registro</t>
        </is>
      </c>
      <c r="L4" s="10" t="inlineStr">
        <is>
          <t>Apropiación definitiva</t>
        </is>
      </c>
      <c r="M4" s="11" t="inlineStr">
        <is>
          <t>Registro</t>
        </is>
      </c>
    </row>
    <row r="5" ht="18.75" customHeight="1">
      <c r="A5" s="12" t="inlineStr">
        <is>
          <t>GESTIÓN GENERAL</t>
        </is>
      </c>
      <c r="B5" s="13">
        <f>+B6+B50</f>
        <v/>
      </c>
      <c r="C5" s="14">
        <f>+C6+C50</f>
        <v/>
      </c>
      <c r="D5" s="13">
        <f>+D6+D50</f>
        <v/>
      </c>
      <c r="E5" s="14">
        <f>+E6+E50</f>
        <v/>
      </c>
      <c r="F5" s="13">
        <f>+F6+F50</f>
        <v/>
      </c>
      <c r="G5" s="14">
        <f>+G6+G50</f>
        <v/>
      </c>
      <c r="H5" s="13">
        <f>+H6+H50</f>
        <v/>
      </c>
      <c r="I5" s="14">
        <f>+I6+I50</f>
        <v/>
      </c>
      <c r="J5" s="13">
        <f>+J6+J50</f>
        <v/>
      </c>
      <c r="K5" s="14">
        <f>+K6+K50</f>
        <v/>
      </c>
      <c r="L5" s="13">
        <f>+L6+L50</f>
        <v/>
      </c>
      <c r="M5" s="14">
        <f>+M6+M50</f>
        <v/>
      </c>
    </row>
    <row r="6" ht="15.75" customHeight="1">
      <c r="A6" s="15" t="inlineStr">
        <is>
          <t>- NIVEL CENTRAL</t>
        </is>
      </c>
      <c r="B6" s="16">
        <f>+B7+B22</f>
        <v/>
      </c>
      <c r="C6" s="17">
        <f>+C7+C22</f>
        <v/>
      </c>
      <c r="D6" s="16">
        <f>+D7+D22</f>
        <v/>
      </c>
      <c r="E6" s="17">
        <f>+E7+E22</f>
        <v/>
      </c>
      <c r="F6" s="16">
        <f>+F7+F22</f>
        <v/>
      </c>
      <c r="G6" s="17">
        <f>+G7+G22</f>
        <v/>
      </c>
      <c r="H6" s="16">
        <f>+H7+H22</f>
        <v/>
      </c>
      <c r="I6" s="17">
        <f>+I7+I22</f>
        <v/>
      </c>
      <c r="J6" s="16">
        <f>+J7+J22</f>
        <v/>
      </c>
      <c r="K6" s="17">
        <f>+K7+K22</f>
        <v/>
      </c>
      <c r="L6" s="16">
        <f>+L7+L22</f>
        <v/>
      </c>
      <c r="M6" s="17">
        <f>+M7+M22</f>
        <v/>
      </c>
    </row>
    <row r="7">
      <c r="A7" s="18" t="inlineStr">
        <is>
          <t xml:space="preserve">I. Funcionamiento </t>
        </is>
      </c>
      <c r="B7" s="19">
        <f>+B8+B13+B19</f>
        <v/>
      </c>
      <c r="C7" s="20">
        <f>+C8+C13+C19</f>
        <v/>
      </c>
      <c r="D7" s="19">
        <f>+D8+D13+D19</f>
        <v/>
      </c>
      <c r="E7" s="20">
        <f>+E8+E13+E19</f>
        <v/>
      </c>
      <c r="F7" s="19">
        <f>+F8+F13+F19</f>
        <v/>
      </c>
      <c r="G7" s="20">
        <f>+G8+G13+G19</f>
        <v/>
      </c>
      <c r="H7" s="19">
        <f>+H8+H13+H19</f>
        <v/>
      </c>
      <c r="I7" s="20">
        <f>+I8+I13+I19</f>
        <v/>
      </c>
      <c r="J7" s="19">
        <f>+J8+J13+J19</f>
        <v/>
      </c>
      <c r="K7" s="20">
        <f>+K8+K13+K19</f>
        <v/>
      </c>
      <c r="L7" s="19">
        <f>+L8+L13+L19</f>
        <v/>
      </c>
      <c r="M7" s="21">
        <f>+M8+M13+M19</f>
        <v/>
      </c>
    </row>
    <row r="8" ht="15.75" customHeight="1">
      <c r="A8" s="22" t="inlineStr">
        <is>
          <t>GASTOS DE PERSONAL</t>
        </is>
      </c>
      <c r="B8" s="23">
        <f>SUM(B9:B12)</f>
        <v/>
      </c>
      <c r="C8" s="24">
        <f>SUM(C9:C12)</f>
        <v/>
      </c>
      <c r="D8" s="23">
        <f>SUM(D9:D12)</f>
        <v/>
      </c>
      <c r="E8" s="24">
        <f>SUM(E9:E12)</f>
        <v/>
      </c>
      <c r="F8" s="23">
        <f>SUM(F9:F12)</f>
        <v/>
      </c>
      <c r="G8" s="24">
        <f>SUM(G9:G12)</f>
        <v/>
      </c>
      <c r="H8" s="23">
        <f>SUM(H9:H12)</f>
        <v/>
      </c>
      <c r="I8" s="24">
        <f>SUM(I9:I12)</f>
        <v/>
      </c>
      <c r="J8" s="23">
        <f>SUM(J9:J12)</f>
        <v/>
      </c>
      <c r="K8" s="24">
        <f>SUM(K9:K12)</f>
        <v/>
      </c>
      <c r="L8" s="23">
        <f>SUM(L9:L12)</f>
        <v/>
      </c>
      <c r="M8" s="24">
        <f>SUM(M9:M12)</f>
        <v/>
      </c>
    </row>
    <row r="9" outlineLevel="1" ht="15.75" customHeight="1">
      <c r="A9" s="49" t="inlineStr">
        <is>
          <t>SERVICIOS PERSONALES ASOCIADOS A NOMINA</t>
        </is>
      </c>
      <c r="B9" s="26" t="n">
        <v>1566722447</v>
      </c>
      <c r="C9" s="27" t="n">
        <v>1566722447</v>
      </c>
      <c r="D9" s="26" t="n">
        <v>1728670386</v>
      </c>
      <c r="E9" s="27" t="n">
        <v>1728670386</v>
      </c>
      <c r="F9" s="26" t="n">
        <v>1822973163</v>
      </c>
      <c r="G9" s="27" t="n">
        <v>1822973163</v>
      </c>
      <c r="H9" s="26" t="n">
        <v>1907623831</v>
      </c>
      <c r="I9" s="27" t="n">
        <v>1907623831</v>
      </c>
      <c r="J9" s="26" t="n">
        <v>1987579581</v>
      </c>
      <c r="K9" s="27" t="n">
        <v>1987579581</v>
      </c>
      <c r="L9" s="26" t="n">
        <v>2140400621</v>
      </c>
      <c r="M9" s="27" t="n">
        <v>2140400621</v>
      </c>
    </row>
    <row r="10" outlineLevel="1" ht="15.75" customHeight="1">
      <c r="A10" s="25" t="inlineStr">
        <is>
          <t>OTROS GASTOS ASOCIADOS A NOMINA</t>
        </is>
      </c>
      <c r="B10" s="26" t="n">
        <v>507940200</v>
      </c>
      <c r="C10" s="27" t="n">
        <v>507940200</v>
      </c>
      <c r="D10" s="26" t="n">
        <v>519568324</v>
      </c>
      <c r="E10" s="27" t="n">
        <v>519568324</v>
      </c>
      <c r="F10" s="26" t="n">
        <v>586264004</v>
      </c>
      <c r="G10" s="27" t="n">
        <v>586264004</v>
      </c>
      <c r="H10" s="26" t="n">
        <v>595860264</v>
      </c>
      <c r="I10" s="27" t="n">
        <v>595860264</v>
      </c>
      <c r="J10" s="26" t="n">
        <v>605451017</v>
      </c>
      <c r="K10" s="27" t="n">
        <v>605451017</v>
      </c>
      <c r="L10" s="26" t="n">
        <v>667494370</v>
      </c>
      <c r="M10" s="27" t="n">
        <v>645494370</v>
      </c>
      <c r="O10" s="28" t="n"/>
    </row>
    <row r="11" outlineLevel="1" ht="15.75" customHeight="1">
      <c r="A11" s="25" t="inlineStr">
        <is>
          <t>SERVICIOS PERSONALES INDIRECTOS</t>
        </is>
      </c>
      <c r="B11" s="26" t="n">
        <v>936890522</v>
      </c>
      <c r="C11" s="27" t="n">
        <v>935931714</v>
      </c>
      <c r="D11" s="26" t="n">
        <v>892005440</v>
      </c>
      <c r="E11" s="27" t="n">
        <v>891653638</v>
      </c>
      <c r="F11" s="26" t="n">
        <v>921113006</v>
      </c>
      <c r="G11" s="27" t="n">
        <v>917368305</v>
      </c>
      <c r="H11" s="26" t="n">
        <v>987620999</v>
      </c>
      <c r="I11" s="27" t="n">
        <v>986707768</v>
      </c>
      <c r="J11" s="26" t="n">
        <v>979266259</v>
      </c>
      <c r="K11" s="27" t="n">
        <v>975782067</v>
      </c>
      <c r="L11" s="26" t="n">
        <v>1054511398</v>
      </c>
      <c r="M11" s="27" t="n">
        <v>1043493900</v>
      </c>
      <c r="O11" s="28" t="n"/>
    </row>
    <row r="12" outlineLevel="1" ht="15.75" customHeight="1">
      <c r="A12" s="49" t="inlineStr">
        <is>
          <t>CONTRIBUCIONES INHERENTES A LA NOMINA</t>
        </is>
      </c>
      <c r="B12" s="26" t="n">
        <v>452849308</v>
      </c>
      <c r="C12" s="27" t="n">
        <v>452849308</v>
      </c>
      <c r="D12" s="26" t="n">
        <v>491353729</v>
      </c>
      <c r="E12" s="27" t="n">
        <v>491353729</v>
      </c>
      <c r="F12" s="26" t="n">
        <v>524083926</v>
      </c>
      <c r="G12" s="27" t="n">
        <v>524083926</v>
      </c>
      <c r="H12" s="26" t="n">
        <v>550600434</v>
      </c>
      <c r="I12" s="27" t="n">
        <v>550378934</v>
      </c>
      <c r="J12" s="26" t="n">
        <v>568074294</v>
      </c>
      <c r="K12" s="27" t="n">
        <v>568074294</v>
      </c>
      <c r="L12" s="26" t="n">
        <v>621215930</v>
      </c>
      <c r="M12" s="27" t="n">
        <v>621215930</v>
      </c>
      <c r="O12" s="28" t="n"/>
    </row>
    <row r="13" ht="15.75" customHeight="1">
      <c r="A13" s="29" t="inlineStr">
        <is>
          <t>GASTOS GENERALES</t>
        </is>
      </c>
      <c r="B13" s="30">
        <f>SUM(B14:B18)</f>
        <v/>
      </c>
      <c r="C13" s="31">
        <f>SUM(C14:C18)</f>
        <v/>
      </c>
      <c r="D13" s="30">
        <f>SUM(D14:D18)</f>
        <v/>
      </c>
      <c r="E13" s="31">
        <f>SUM(E14:E18)</f>
        <v/>
      </c>
      <c r="F13" s="30">
        <f>SUM(F14:F18)</f>
        <v/>
      </c>
      <c r="G13" s="31">
        <f>SUM(G14:G18)</f>
        <v/>
      </c>
      <c r="H13" s="30">
        <f>SUM(H14:H18)</f>
        <v/>
      </c>
      <c r="I13" s="31">
        <f>SUM(I14:I18)</f>
        <v/>
      </c>
      <c r="J13" s="30">
        <f>SUM(J14:J18)</f>
        <v/>
      </c>
      <c r="K13" s="31">
        <f>SUM(K14:K18)</f>
        <v/>
      </c>
      <c r="L13" s="30">
        <f>SUM(L14:L18)</f>
        <v/>
      </c>
      <c r="M13" s="31">
        <f>SUM(M14:M18)</f>
        <v/>
      </c>
      <c r="O13" s="28" t="n"/>
      <c r="P13" s="28" t="n"/>
    </row>
    <row r="14" outlineLevel="1" ht="15.75" customHeight="1">
      <c r="A14" s="32" t="inlineStr">
        <is>
          <t>ADQUISICIÓN DE BIENES</t>
        </is>
      </c>
      <c r="B14" s="26" t="n">
        <v>89693287</v>
      </c>
      <c r="C14" s="27" t="n">
        <v>87946045</v>
      </c>
      <c r="D14" s="26" t="n">
        <v>92628801</v>
      </c>
      <c r="E14" s="27" t="n">
        <v>92593001</v>
      </c>
      <c r="F14" s="26" t="n">
        <v>82643691</v>
      </c>
      <c r="G14" s="27" t="n">
        <v>82479691</v>
      </c>
      <c r="H14" s="26" t="n">
        <v>143019395</v>
      </c>
      <c r="I14" s="27" t="n">
        <v>137073992</v>
      </c>
      <c r="J14" s="26" t="n">
        <v>617460893</v>
      </c>
      <c r="K14" s="27" t="n">
        <v>548396173</v>
      </c>
      <c r="L14" s="26" t="n">
        <v>101590411</v>
      </c>
      <c r="M14" s="27" t="n">
        <v>97453287</v>
      </c>
      <c r="O14" s="28" t="n"/>
      <c r="P14" s="28" t="n"/>
    </row>
    <row r="15" outlineLevel="1" ht="15.75" customHeight="1">
      <c r="A15" s="32" t="inlineStr">
        <is>
          <t>ADQUISICIÓN DE SERVICIOS</t>
        </is>
      </c>
      <c r="B15" s="26" t="n">
        <v>559873168</v>
      </c>
      <c r="C15" s="27" t="n">
        <v>556307232</v>
      </c>
      <c r="D15" s="26" t="n">
        <v>611361374</v>
      </c>
      <c r="E15" s="27" t="n">
        <v>609074852</v>
      </c>
      <c r="F15" s="26" t="n">
        <v>659384991</v>
      </c>
      <c r="G15" s="27" t="n">
        <v>656887268</v>
      </c>
      <c r="H15" s="26" t="n">
        <v>591665859</v>
      </c>
      <c r="I15" s="27" t="n">
        <v>553217725</v>
      </c>
      <c r="J15" s="26" t="n">
        <v>173725000</v>
      </c>
      <c r="K15" s="27" t="n">
        <v>166002931</v>
      </c>
      <c r="L15" s="26" t="n">
        <v>694533993</v>
      </c>
      <c r="M15" s="27" t="n">
        <v>661613284</v>
      </c>
      <c r="O15" s="28" t="n"/>
      <c r="P15" s="28" t="n"/>
    </row>
    <row r="16" outlineLevel="1" ht="15.75" customHeight="1">
      <c r="A16" s="47" t="inlineStr">
        <is>
          <t>IMPUESTOS, CONTRIBUCIONES Y MULTAS</t>
        </is>
      </c>
      <c r="B16" s="26" t="n">
        <v>2298209</v>
      </c>
      <c r="C16" s="27" t="n">
        <v>2298206</v>
      </c>
      <c r="D16" s="26" t="n">
        <v>2367332</v>
      </c>
      <c r="E16" s="27" t="n">
        <v>2367332</v>
      </c>
      <c r="F16" s="26" t="n">
        <v>17914523</v>
      </c>
      <c r="G16" s="27" t="n">
        <v>17914523</v>
      </c>
      <c r="H16" s="26" t="n">
        <v>5178261</v>
      </c>
      <c r="I16" s="27" t="n">
        <v>5175698</v>
      </c>
      <c r="J16" s="26" t="n">
        <v>5266307</v>
      </c>
      <c r="K16" s="27" t="n">
        <v>5266307</v>
      </c>
      <c r="L16" s="26" t="n">
        <v>4884863</v>
      </c>
      <c r="M16" s="27" t="n">
        <v>4789745</v>
      </c>
      <c r="O16" s="28" t="n"/>
    </row>
    <row r="17" outlineLevel="1" ht="15.75" customHeight="1">
      <c r="A17" s="48" t="inlineStr">
        <is>
          <t>OPERACIONES INTERNAS POR ADQUISICION DE BIENES</t>
        </is>
      </c>
      <c r="B17" s="26" t="n">
        <v>6270984</v>
      </c>
      <c r="C17" s="27" t="n">
        <v>6270984</v>
      </c>
      <c r="D17" s="26" t="n">
        <v>20438702</v>
      </c>
      <c r="E17" s="27" t="n">
        <v>2108400</v>
      </c>
      <c r="F17" s="26" t="n">
        <v>19274972</v>
      </c>
      <c r="G17" s="27" t="n">
        <v>0</v>
      </c>
      <c r="H17" s="26" t="n"/>
      <c r="I17" s="27" t="n"/>
      <c r="J17" s="26" t="n">
        <v>3263000</v>
      </c>
      <c r="K17" s="27" t="n">
        <v>3263000</v>
      </c>
      <c r="L17" s="26" t="n"/>
      <c r="M17" s="27" t="n"/>
      <c r="O17" s="28" t="n"/>
    </row>
    <row r="18" outlineLevel="1" ht="15.75" customHeight="1">
      <c r="A18" s="48" t="inlineStr">
        <is>
          <t>OPERACIONES INTERNAS POR ADQUISICION DE SERVICIOS</t>
        </is>
      </c>
      <c r="B18" s="26" t="n">
        <v>6016129</v>
      </c>
      <c r="C18" s="27" t="n">
        <v>6016129</v>
      </c>
      <c r="D18" s="26" t="n"/>
      <c r="E18" s="27" t="n"/>
      <c r="F18" s="26" t="n"/>
      <c r="G18" s="27" t="n"/>
      <c r="H18" s="26" t="n"/>
      <c r="I18" s="27" t="n"/>
      <c r="J18" s="26" t="n">
        <v>727900</v>
      </c>
      <c r="K18" s="27" t="n">
        <v>727900</v>
      </c>
      <c r="L18" s="26" t="n">
        <v>903600</v>
      </c>
      <c r="M18" s="27" t="n">
        <v>903600</v>
      </c>
      <c r="O18" s="28" t="n"/>
    </row>
    <row r="19" ht="15.75" customHeight="1">
      <c r="A19" s="29" t="inlineStr">
        <is>
          <t>TRANSFERENCIAS</t>
        </is>
      </c>
      <c r="B19" s="30">
        <f>SUM(B20:B21)</f>
        <v/>
      </c>
      <c r="C19" s="31">
        <f>SUM(C20:C21)</f>
        <v/>
      </c>
      <c r="D19" s="30">
        <f>SUM(D20:D21)</f>
        <v/>
      </c>
      <c r="E19" s="31">
        <f>SUM(E20:E21)</f>
        <v/>
      </c>
      <c r="F19" s="30">
        <f>SUM(F20:F21)</f>
        <v/>
      </c>
      <c r="G19" s="31">
        <f>SUM(G20:G21)</f>
        <v/>
      </c>
      <c r="H19" s="30">
        <f>SUM(H20:H21)</f>
        <v/>
      </c>
      <c r="I19" s="31">
        <f>SUM(I20:I21)</f>
        <v/>
      </c>
      <c r="J19" s="30">
        <f>SUM(J20:J21)</f>
        <v/>
      </c>
      <c r="K19" s="31">
        <f>SUM(K20:K21)</f>
        <v/>
      </c>
      <c r="L19" s="30">
        <f>SUM(L20:L21)</f>
        <v/>
      </c>
      <c r="M19" s="31">
        <f>SUM(M20:M21)</f>
        <v/>
      </c>
      <c r="O19" s="28" t="n"/>
      <c r="P19" s="28" t="n"/>
    </row>
    <row r="20" outlineLevel="1" ht="15.75" customHeight="1">
      <c r="A20" s="25" t="inlineStr">
        <is>
          <t>BIENESTAR ESTUDIANTES</t>
        </is>
      </c>
      <c r="B20" s="26" t="n">
        <v>19577515</v>
      </c>
      <c r="C20" s="27" t="n">
        <v>19576695</v>
      </c>
      <c r="D20" s="26" t="n">
        <v>56312784</v>
      </c>
      <c r="E20" s="27" t="n">
        <v>48101638</v>
      </c>
      <c r="F20" s="26" t="n">
        <v>63350660</v>
      </c>
      <c r="G20" s="27" t="n">
        <v>63315955</v>
      </c>
      <c r="H20" s="26" t="n">
        <v>52194976</v>
      </c>
      <c r="I20" s="27" t="n">
        <v>52157800</v>
      </c>
      <c r="J20" s="26" t="n">
        <v>49012000</v>
      </c>
      <c r="K20" s="27" t="n">
        <v>22802840</v>
      </c>
      <c r="L20" s="26" t="n">
        <v>51021068</v>
      </c>
      <c r="M20" s="27" t="n">
        <v>41354800</v>
      </c>
      <c r="O20" s="28" t="n"/>
      <c r="P20" s="28" t="n"/>
    </row>
    <row r="21" outlineLevel="1" ht="15.75" customHeight="1">
      <c r="A21" s="46" t="inlineStr">
        <is>
          <t>TRANSFERENCIAS OPERACIONES INTERNAS SIN CONTRAPRESTACIÓN</t>
        </is>
      </c>
      <c r="B21" s="33" t="n"/>
      <c r="C21" s="34" t="n"/>
      <c r="D21" s="33" t="n">
        <v>10818816</v>
      </c>
      <c r="E21" s="34" t="n">
        <v>10818816</v>
      </c>
      <c r="F21" s="33" t="n"/>
      <c r="G21" s="34" t="n"/>
      <c r="H21" s="33" t="n"/>
      <c r="I21" s="34" t="n"/>
      <c r="J21" s="33" t="n"/>
      <c r="K21" s="34" t="n"/>
      <c r="L21" s="33" t="n"/>
      <c r="M21" s="34" t="n"/>
      <c r="O21" s="28" t="n"/>
      <c r="P21" s="28" t="n"/>
    </row>
    <row r="22" ht="15.75" customHeight="1">
      <c r="A22" s="19" t="inlineStr">
        <is>
          <t>II. Inversion</t>
        </is>
      </c>
      <c r="B22" s="19">
        <f>+B23+B27+B30+B35+B39+B42+B45+B48</f>
        <v/>
      </c>
      <c r="C22" s="35">
        <f>+C23+C27+C30+C35+C39+C42+C45+C48</f>
        <v/>
      </c>
      <c r="D22" s="19">
        <f>+D23+D27+D30+D35+D39+D42+D45+D48</f>
        <v/>
      </c>
      <c r="E22" s="35">
        <f>+E23+E27+E30+E35+E39+E42+E45+E48</f>
        <v/>
      </c>
      <c r="F22" s="19">
        <f>+F23+F27+F30+F35+F39+F42+F45+F48</f>
        <v/>
      </c>
      <c r="G22" s="35">
        <f>+G23+G27+G30+G35+G39+G42+G45+G48</f>
        <v/>
      </c>
      <c r="H22" s="19">
        <f>+H23+H27+H30+H35+H39+H42+H45+H48</f>
        <v/>
      </c>
      <c r="I22" s="35">
        <f>+I23+I27+I30+I35+I39+I42+I45+I48</f>
        <v/>
      </c>
      <c r="J22" s="19">
        <f>+J23+J27+J30+J35+J39+J42+J45+J48</f>
        <v/>
      </c>
      <c r="K22" s="35">
        <f>+K23+K27+K30+K35+K39+K42+K45+K48</f>
        <v/>
      </c>
      <c r="L22" s="19">
        <f>+L23+L27+L30+L35+L39+L42+L45+L48</f>
        <v/>
      </c>
      <c r="M22" s="35">
        <f>+M23+M27+M30+M35+M39+M42+M45+M48</f>
        <v/>
      </c>
    </row>
    <row r="23" ht="15.75" customHeight="1">
      <c r="A23" s="36" t="inlineStr">
        <is>
          <t>ADQUS. Y/O PRODUCC. DE EQUIPOS, MATER. SUMINIS. Y SERVICIOS PROPIOS DEL SECTOR</t>
        </is>
      </c>
      <c r="B23" s="30">
        <f>SUM(B24:B26)</f>
        <v/>
      </c>
      <c r="C23" s="31">
        <f>SUM(C24:C26)</f>
        <v/>
      </c>
      <c r="D23" s="30">
        <f>SUM(D24:D26)</f>
        <v/>
      </c>
      <c r="E23" s="31">
        <f>SUM(E24:E26)</f>
        <v/>
      </c>
      <c r="F23" s="30">
        <f>SUM(F24:F26)</f>
        <v/>
      </c>
      <c r="G23" s="31">
        <f>SUM(G24:G26)</f>
        <v/>
      </c>
      <c r="H23" s="30">
        <f>SUM(H24:H26)</f>
        <v/>
      </c>
      <c r="I23" s="31">
        <f>SUM(I24:I26)</f>
        <v/>
      </c>
      <c r="J23" s="30">
        <f>SUM(J24:J26)</f>
        <v/>
      </c>
      <c r="K23" s="31">
        <f>SUM(K24:K26)</f>
        <v/>
      </c>
      <c r="L23" s="30">
        <f>SUM(L24:L26)</f>
        <v/>
      </c>
      <c r="M23" s="31">
        <f>SUM(M24:M26)</f>
        <v/>
      </c>
    </row>
    <row r="24" outlineLevel="1" ht="15.75" customHeight="1">
      <c r="A24" s="26" t="inlineStr">
        <is>
          <t>GASTOS DE PERSONAL</t>
        </is>
      </c>
      <c r="B24" s="26" t="n">
        <v>50460000</v>
      </c>
      <c r="C24" s="27" t="n">
        <v>41054400</v>
      </c>
      <c r="D24" s="26" t="n">
        <v>93390000</v>
      </c>
      <c r="E24" s="27" t="n">
        <v>73784010</v>
      </c>
      <c r="F24" s="26" t="n">
        <v>81143237</v>
      </c>
      <c r="G24" s="27" t="n">
        <v>80523134</v>
      </c>
      <c r="H24" s="26" t="n"/>
      <c r="I24" s="27" t="n"/>
      <c r="J24" s="26" t="n">
        <v>3600000</v>
      </c>
      <c r="K24" s="27" t="n">
        <v>1506000</v>
      </c>
      <c r="L24" s="26" t="n">
        <v>6024000</v>
      </c>
      <c r="M24" s="27" t="n">
        <v>6000000</v>
      </c>
    </row>
    <row r="25" outlineLevel="1" ht="15.75" customHeight="1">
      <c r="A25" s="26" t="inlineStr">
        <is>
          <t>GASTOS GENERALES</t>
        </is>
      </c>
      <c r="B25" s="26" t="n">
        <v>322800000</v>
      </c>
      <c r="C25" s="27" t="n">
        <v>219082598</v>
      </c>
      <c r="D25" s="26" t="n">
        <v>294950037</v>
      </c>
      <c r="E25" s="27" t="n">
        <v>173519772</v>
      </c>
      <c r="F25" s="26" t="n">
        <v>440009972</v>
      </c>
      <c r="G25" s="27" t="n">
        <v>273166841</v>
      </c>
      <c r="H25" s="26" t="n">
        <v>160283713</v>
      </c>
      <c r="I25" s="27" t="n">
        <v>158955296</v>
      </c>
      <c r="J25" s="26" t="n">
        <v>116400000</v>
      </c>
      <c r="K25" s="27" t="n">
        <v>113714320</v>
      </c>
      <c r="L25" s="26" t="n">
        <v>78755680</v>
      </c>
      <c r="M25" s="27" t="n">
        <v>77878016</v>
      </c>
      <c r="O25" s="28" t="n"/>
    </row>
    <row r="26" outlineLevel="1" ht="15.75" customHeight="1">
      <c r="A26" s="26" t="inlineStr">
        <is>
          <t>PRESUPUESTO POR DISTRIBUIR - ADQUS. Y/O PRODUCC. DE EQUIPOS, MATER. SUMINIS. Y SERVICIOS PROPIOS DEL SEC</t>
        </is>
      </c>
      <c r="B26" s="33" t="n"/>
      <c r="C26" s="34" t="n"/>
      <c r="D26" s="33" t="n">
        <v>7181557</v>
      </c>
      <c r="E26" s="34" t="n">
        <v>0</v>
      </c>
      <c r="F26" s="33" t="n"/>
      <c r="G26" s="34" t="n"/>
      <c r="H26" s="33" t="n"/>
      <c r="I26" s="34" t="n"/>
      <c r="J26" s="33" t="n"/>
      <c r="K26" s="34" t="n"/>
      <c r="L26" s="33" t="n"/>
      <c r="M26" s="34" t="n"/>
      <c r="O26" s="28" t="n"/>
    </row>
    <row r="27" ht="15.75" customHeight="1">
      <c r="A27" s="36" t="inlineStr">
        <is>
          <t>DIVULGACIÓN, ASISTENCIA TÉCNICA Y CAPACITACIÓN DEL RECURSO HUMANO.</t>
        </is>
      </c>
      <c r="B27" s="30">
        <f>SUM(B28:B29)</f>
        <v/>
      </c>
      <c r="C27" s="31">
        <f>SUM(C28:C29)</f>
        <v/>
      </c>
      <c r="D27" s="30">
        <f>SUM(D28:D29)</f>
        <v/>
      </c>
      <c r="E27" s="31">
        <f>SUM(E28:E29)</f>
        <v/>
      </c>
      <c r="F27" s="30">
        <f>SUM(F28:F29)</f>
        <v/>
      </c>
      <c r="G27" s="31">
        <f>SUM(G28:G29)</f>
        <v/>
      </c>
      <c r="H27" s="30">
        <f>SUM(H28:H29)</f>
        <v/>
      </c>
      <c r="I27" s="31">
        <f>SUM(I28:I29)</f>
        <v/>
      </c>
      <c r="J27" s="30">
        <f>SUM(J28:J29)</f>
        <v/>
      </c>
      <c r="K27" s="31">
        <f>SUM(K28:K29)</f>
        <v/>
      </c>
      <c r="L27" s="30">
        <f>SUM(L28:L29)</f>
        <v/>
      </c>
      <c r="M27" s="31">
        <f>SUM(M28:M29)</f>
        <v/>
      </c>
      <c r="O27" s="28" t="n"/>
      <c r="P27" s="28" t="n"/>
    </row>
    <row r="28" outlineLevel="1" ht="15.75" customHeight="1">
      <c r="A28" s="26" t="inlineStr">
        <is>
          <t>GASTOS DE PERSONAL</t>
        </is>
      </c>
      <c r="B28" s="26" t="n">
        <v>57502356</v>
      </c>
      <c r="C28" s="27" t="n">
        <v>51936606</v>
      </c>
      <c r="D28" s="26" t="n">
        <v>139946698</v>
      </c>
      <c r="E28" s="27" t="n">
        <v>131972552</v>
      </c>
      <c r="F28" s="26" t="n">
        <v>168815990</v>
      </c>
      <c r="G28" s="27" t="n">
        <v>167602590</v>
      </c>
      <c r="H28" s="26" t="n">
        <v>107991112</v>
      </c>
      <c r="I28" s="27" t="n">
        <v>97484000</v>
      </c>
      <c r="J28" s="26" t="n">
        <v>281587878</v>
      </c>
      <c r="K28" s="27" t="n">
        <v>267407144</v>
      </c>
      <c r="L28" s="26" t="n">
        <v>423233594</v>
      </c>
      <c r="M28" s="27" t="n">
        <v>418958744</v>
      </c>
      <c r="O28" s="28" t="n"/>
      <c r="P28" s="28" t="n"/>
    </row>
    <row r="29" outlineLevel="1" ht="15.75" customHeight="1">
      <c r="A29" s="26" t="inlineStr">
        <is>
          <t>GASTOS GENERALES</t>
        </is>
      </c>
      <c r="B29" s="26" t="n">
        <v>67665177</v>
      </c>
      <c r="C29" s="27" t="n">
        <v>34126929</v>
      </c>
      <c r="D29" s="26" t="n">
        <v>130020556</v>
      </c>
      <c r="E29" s="27" t="n">
        <v>64762545</v>
      </c>
      <c r="F29" s="26" t="n">
        <v>148069923</v>
      </c>
      <c r="G29" s="27" t="n">
        <v>114422419</v>
      </c>
      <c r="H29" s="26" t="n">
        <v>87805700</v>
      </c>
      <c r="I29" s="27" t="n">
        <v>78921056</v>
      </c>
      <c r="J29" s="26" t="n">
        <v>165448499</v>
      </c>
      <c r="K29" s="27" t="n">
        <v>49797092</v>
      </c>
      <c r="L29" s="26" t="n">
        <v>137034737</v>
      </c>
      <c r="M29" s="27" t="n">
        <v>94350938</v>
      </c>
      <c r="O29" s="28" t="n"/>
    </row>
    <row r="30" ht="15.75" customHeight="1">
      <c r="A30" s="36" t="inlineStr">
        <is>
          <t>INVESTIGACION APLICADA A ESTUDIOS</t>
        </is>
      </c>
      <c r="B30" s="30">
        <f>SUM(B31:B34)</f>
        <v/>
      </c>
      <c r="C30" s="31">
        <f>SUM(C31:C34)</f>
        <v/>
      </c>
      <c r="D30" s="30">
        <f>SUM(D31:D34)</f>
        <v/>
      </c>
      <c r="E30" s="31">
        <f>SUM(E31:E34)</f>
        <v/>
      </c>
      <c r="F30" s="30">
        <f>SUM(F31:F34)</f>
        <v/>
      </c>
      <c r="G30" s="31">
        <f>SUM(G31:G34)</f>
        <v/>
      </c>
      <c r="H30" s="30">
        <f>SUM(H31:H34)</f>
        <v/>
      </c>
      <c r="I30" s="31">
        <f>SUM(I31:I34)</f>
        <v/>
      </c>
      <c r="J30" s="30">
        <f>SUM(J31:J34)</f>
        <v/>
      </c>
      <c r="K30" s="31">
        <f>SUM(K31:K34)</f>
        <v/>
      </c>
      <c r="L30" s="30">
        <f>SUM(L31:L34)</f>
        <v/>
      </c>
      <c r="M30" s="31">
        <f>SUM(M31:M34)</f>
        <v/>
      </c>
      <c r="O30" s="28" t="n"/>
      <c r="P30" s="28" t="n"/>
    </row>
    <row r="31" outlineLevel="1" ht="15.75" customHeight="1">
      <c r="A31" s="26" t="inlineStr">
        <is>
          <t>GASTOS DE PERSONAL</t>
        </is>
      </c>
      <c r="B31" s="26" t="n">
        <v>95115415</v>
      </c>
      <c r="C31" s="27" t="n">
        <v>51536289</v>
      </c>
      <c r="D31" s="26" t="n">
        <v>175454690</v>
      </c>
      <c r="E31" s="27" t="n">
        <v>115357452</v>
      </c>
      <c r="F31" s="26" t="n">
        <v>204086266</v>
      </c>
      <c r="G31" s="27" t="n">
        <v>151517361</v>
      </c>
      <c r="H31" s="26" t="n">
        <v>87023339</v>
      </c>
      <c r="I31" s="27" t="n">
        <v>55970210</v>
      </c>
      <c r="J31" s="26" t="n">
        <v>268423379</v>
      </c>
      <c r="K31" s="27" t="n">
        <v>201597609</v>
      </c>
      <c r="L31" s="26" t="n">
        <v>381185291</v>
      </c>
      <c r="M31" s="27" t="n">
        <v>283083607</v>
      </c>
      <c r="O31" s="28" t="n"/>
      <c r="P31" s="28" t="n"/>
    </row>
    <row r="32" outlineLevel="1" ht="15.75" customHeight="1">
      <c r="A32" s="26" t="inlineStr">
        <is>
          <t>GASTOS GENERALES</t>
        </is>
      </c>
      <c r="B32" s="26" t="n">
        <v>196397174</v>
      </c>
      <c r="C32" s="27" t="n">
        <v>121867936</v>
      </c>
      <c r="D32" s="26" t="n">
        <v>256046583</v>
      </c>
      <c r="E32" s="27" t="n">
        <v>126084896</v>
      </c>
      <c r="F32" s="26" t="n">
        <v>271650303</v>
      </c>
      <c r="G32" s="27" t="n">
        <v>212912836</v>
      </c>
      <c r="H32" s="26" t="n">
        <v>103018820</v>
      </c>
      <c r="I32" s="27" t="n">
        <v>45461532</v>
      </c>
      <c r="J32" s="26" t="n">
        <v>242327968</v>
      </c>
      <c r="K32" s="27" t="n">
        <v>118515019</v>
      </c>
      <c r="L32" s="26" t="n">
        <v>390936914</v>
      </c>
      <c r="M32" s="27" t="n">
        <v>191210614</v>
      </c>
      <c r="O32" s="28" t="n"/>
    </row>
    <row r="33" outlineLevel="1" ht="15.75" customHeight="1">
      <c r="A33" s="26" t="inlineStr">
        <is>
          <t>TRANSFERENCIAS</t>
        </is>
      </c>
      <c r="B33" s="26" t="n">
        <v>189259</v>
      </c>
      <c r="C33" s="27" t="n">
        <v>0</v>
      </c>
      <c r="D33" s="26" t="n">
        <v>35048656</v>
      </c>
      <c r="E33" s="27" t="n">
        <v>0</v>
      </c>
      <c r="F33" s="26" t="n">
        <v>22730515</v>
      </c>
      <c r="G33" s="27" t="n">
        <v>0</v>
      </c>
      <c r="H33" s="26" t="n">
        <v>63312104</v>
      </c>
      <c r="I33" s="27" t="n">
        <v>0</v>
      </c>
      <c r="J33" s="26" t="n">
        <v>150440461</v>
      </c>
      <c r="K33" s="27" t="n">
        <v>0</v>
      </c>
      <c r="L33" s="26" t="n">
        <v>144745461</v>
      </c>
      <c r="M33" s="27" t="n">
        <v>0</v>
      </c>
      <c r="O33" s="28" t="n"/>
    </row>
    <row r="34" outlineLevel="1" ht="15.75" customHeight="1">
      <c r="A34" s="45" t="inlineStr">
        <is>
          <t>PRESUPUESTO POR DISTRIBUIR  - INVESTIGACION APLICADA A ESTUDIOS</t>
        </is>
      </c>
      <c r="B34" s="33" t="n"/>
      <c r="C34" s="34" t="n"/>
      <c r="D34" s="33" t="n">
        <v>2393853</v>
      </c>
      <c r="E34" s="34" t="n">
        <v>0</v>
      </c>
      <c r="F34" s="33" t="n"/>
      <c r="G34" s="34" t="n"/>
      <c r="H34" s="33" t="n">
        <v>72000000</v>
      </c>
      <c r="I34" s="34" t="n">
        <v>0</v>
      </c>
      <c r="J34" s="33" t="n"/>
      <c r="K34" s="34" t="n"/>
      <c r="L34" s="33" t="n">
        <v>2336572</v>
      </c>
      <c r="M34" s="34" t="n">
        <v>0</v>
      </c>
      <c r="O34" s="28" t="n"/>
    </row>
    <row r="35" ht="15.75" customHeight="1">
      <c r="A35" s="36" t="inlineStr">
        <is>
          <t>ADMINIST., CONTROL Y ORGANIZACIÓN INSTITUCIONAL PARA APOYO A LA ADMINISTRACION DEL ESTADO</t>
        </is>
      </c>
      <c r="B35" s="30">
        <f>SUM(B36:B38)</f>
        <v/>
      </c>
      <c r="C35" s="31">
        <f>SUM(C36:C38)</f>
        <v/>
      </c>
      <c r="D35" s="30">
        <f>SUM(D36:D38)</f>
        <v/>
      </c>
      <c r="E35" s="31">
        <f>SUM(E36:E38)</f>
        <v/>
      </c>
      <c r="F35" s="30">
        <f>SUM(F36:F38)</f>
        <v/>
      </c>
      <c r="G35" s="31">
        <f>SUM(G36:G38)</f>
        <v/>
      </c>
      <c r="H35" s="30">
        <f>SUM(H36:H38)</f>
        <v/>
      </c>
      <c r="I35" s="31">
        <f>SUM(I36:I38)</f>
        <v/>
      </c>
      <c r="J35" s="30">
        <f>SUM(J36:J38)</f>
        <v/>
      </c>
      <c r="K35" s="31">
        <f>SUM(K36:K38)</f>
        <v/>
      </c>
      <c r="L35" s="30">
        <f>SUM(L36:L38)</f>
        <v/>
      </c>
      <c r="M35" s="31">
        <f>SUM(M36:M38)</f>
        <v/>
      </c>
      <c r="O35" s="28" t="n"/>
      <c r="P35" s="28" t="n"/>
    </row>
    <row r="36" outlineLevel="1" ht="15.75" customHeight="1">
      <c r="A36" s="26" t="inlineStr">
        <is>
          <t>GASTOS DE PERSONAL</t>
        </is>
      </c>
      <c r="B36" s="26" t="n">
        <v>135900000</v>
      </c>
      <c r="C36" s="27" t="n">
        <v>84105948</v>
      </c>
      <c r="D36" s="26" t="n">
        <v>112003380</v>
      </c>
      <c r="E36" s="27" t="n">
        <v>90229494</v>
      </c>
      <c r="F36" s="26" t="n">
        <v>103764702</v>
      </c>
      <c r="G36" s="27" t="n">
        <v>103465506</v>
      </c>
      <c r="H36" s="26" t="n">
        <v>87386189</v>
      </c>
      <c r="I36" s="27" t="n">
        <v>54590954</v>
      </c>
      <c r="J36" s="26" t="n">
        <v>332378200</v>
      </c>
      <c r="K36" s="27" t="n">
        <v>301520154</v>
      </c>
      <c r="L36" s="26" t="n">
        <v>369973380</v>
      </c>
      <c r="M36" s="27" t="n">
        <v>361921194</v>
      </c>
      <c r="O36" s="28" t="n"/>
    </row>
    <row r="37" outlineLevel="1" ht="15.75" customHeight="1">
      <c r="A37" s="26" t="inlineStr">
        <is>
          <t>GASTOS GENERALES</t>
        </is>
      </c>
      <c r="B37" s="26" t="n">
        <v>165300000</v>
      </c>
      <c r="C37" s="27" t="n">
        <v>85743766</v>
      </c>
      <c r="D37" s="26" t="n">
        <v>103736596</v>
      </c>
      <c r="E37" s="27" t="n">
        <v>77006309</v>
      </c>
      <c r="F37" s="26" t="n">
        <v>83684690</v>
      </c>
      <c r="G37" s="27" t="n">
        <v>81884230</v>
      </c>
      <c r="H37" s="26" t="n">
        <v>152795751</v>
      </c>
      <c r="I37" s="27" t="n">
        <v>87777669</v>
      </c>
      <c r="J37" s="26" t="n">
        <v>199527451</v>
      </c>
      <c r="K37" s="27" t="n">
        <v>161081251</v>
      </c>
      <c r="L37" s="26" t="n">
        <v>228284716</v>
      </c>
      <c r="M37" s="27" t="n">
        <v>197642523</v>
      </c>
      <c r="O37" s="28" t="n"/>
    </row>
    <row r="38" outlineLevel="1" ht="15.75" customHeight="1">
      <c r="A38" s="45" t="inlineStr">
        <is>
          <t>PRESUPUESTO POR DISTRIBUIR - ADMINIST., CONTROL Y ORGANIZACIÓN INSTITUCIONAL PARA APOYO A LA ADMINIS. DE</t>
        </is>
      </c>
      <c r="B38" s="33" t="n"/>
      <c r="C38" s="34" t="n"/>
      <c r="D38" s="33" t="n"/>
      <c r="E38" s="34" t="n"/>
      <c r="F38" s="33" t="n"/>
      <c r="G38" s="34" t="n"/>
      <c r="H38" s="33" t="n">
        <v>394515748</v>
      </c>
      <c r="I38" s="34" t="n">
        <v>0</v>
      </c>
      <c r="J38" s="33" t="n">
        <v>290550984</v>
      </c>
      <c r="K38" s="34" t="n">
        <v>0</v>
      </c>
      <c r="L38" s="33" t="n"/>
      <c r="M38" s="34" t="n"/>
      <c r="O38" s="28" t="n"/>
    </row>
    <row r="39" ht="15.75" customHeight="1">
      <c r="A39" s="36" t="inlineStr">
        <is>
          <t>ASIST TÉCNICA DIVULG Y CAPACIT A FUNC DEL ESTADO PARA APOYO A LA ADMINIS DEL ESTADO</t>
        </is>
      </c>
      <c r="B39" s="30">
        <f>SUM(B40:B41)</f>
        <v/>
      </c>
      <c r="C39" s="31">
        <f>SUM(C40:C41)</f>
        <v/>
      </c>
      <c r="D39" s="30" t="n"/>
      <c r="E39" s="31" t="n"/>
      <c r="F39" s="30" t="n"/>
      <c r="G39" s="31" t="n"/>
      <c r="H39" s="30" t="n"/>
      <c r="I39" s="31" t="n"/>
      <c r="J39" s="30" t="n"/>
      <c r="K39" s="31" t="n"/>
      <c r="L39" s="30" t="n"/>
      <c r="M39" s="31" t="n"/>
      <c r="O39" s="28" t="n"/>
      <c r="P39" s="28" t="n"/>
    </row>
    <row r="40" outlineLevel="1" ht="15.75" customHeight="1">
      <c r="A40" s="26" t="inlineStr">
        <is>
          <t>GASTOS GENERALES</t>
        </is>
      </c>
      <c r="B40" s="26" t="n">
        <v>3652303</v>
      </c>
      <c r="C40" s="27" t="n">
        <v>3651772</v>
      </c>
      <c r="D40" s="26" t="n"/>
      <c r="E40" s="27" t="n"/>
      <c r="F40" s="26" t="n"/>
      <c r="G40" s="27" t="n"/>
      <c r="H40" s="26" t="n"/>
      <c r="I40" s="27" t="n"/>
      <c r="J40" s="26" t="n"/>
      <c r="K40" s="27" t="n"/>
      <c r="L40" s="26" t="n"/>
      <c r="M40" s="27" t="n"/>
      <c r="O40" s="28" t="n"/>
      <c r="P40" s="28" t="n"/>
    </row>
    <row r="41" outlineLevel="1" ht="15.75" customHeight="1">
      <c r="A41" s="26" t="inlineStr">
        <is>
          <t>GASTOS DE PERSONAL</t>
        </is>
      </c>
      <c r="B41" s="26" t="n">
        <v>7944973</v>
      </c>
      <c r="C41" s="27" t="n">
        <v>7938393</v>
      </c>
      <c r="D41" s="26" t="n"/>
      <c r="E41" s="27" t="n"/>
      <c r="F41" s="26" t="n"/>
      <c r="G41" s="27" t="n"/>
      <c r="H41" s="26" t="n"/>
      <c r="I41" s="27" t="n"/>
      <c r="J41" s="26" t="n"/>
      <c r="K41" s="27" t="n"/>
      <c r="L41" s="26" t="n"/>
      <c r="M41" s="27" t="n"/>
      <c r="O41" s="28" t="n"/>
      <c r="P41" s="28" t="n"/>
    </row>
    <row r="42" ht="15.75" customHeight="1">
      <c r="A42" s="36" t="inlineStr">
        <is>
          <t>MEJORAMIENTO Y MANTENIMIENTO DE INFRAESTRUCTURA PROPIA DEL SECTOR</t>
        </is>
      </c>
      <c r="B42" s="30">
        <f>SUM(B43:B44)</f>
        <v/>
      </c>
      <c r="C42" s="31">
        <f>SUM(C43:C44)</f>
        <v/>
      </c>
      <c r="D42" s="30">
        <f>SUM(D43:D44)</f>
        <v/>
      </c>
      <c r="E42" s="31">
        <f>SUM(E43:E44)</f>
        <v/>
      </c>
      <c r="F42" s="30" t="n"/>
      <c r="G42" s="31" t="n"/>
      <c r="H42" s="30" t="n"/>
      <c r="I42" s="31" t="n"/>
      <c r="J42" s="30" t="n"/>
      <c r="K42" s="31" t="n"/>
      <c r="L42" s="30">
        <f>SUM(L43:L44)</f>
        <v/>
      </c>
      <c r="M42" s="31">
        <f>SUM(M43:M44)</f>
        <v/>
      </c>
      <c r="O42" s="28" t="n"/>
      <c r="P42" s="28" t="n"/>
    </row>
    <row r="43" outlineLevel="1" ht="15.75" customHeight="1">
      <c r="A43" s="37" t="inlineStr">
        <is>
          <t>GASTOS DE PERSONAL</t>
        </is>
      </c>
      <c r="B43" s="33" t="n">
        <v>6024000</v>
      </c>
      <c r="C43" s="34" t="n">
        <v>6024000</v>
      </c>
      <c r="D43" s="33" t="n"/>
      <c r="E43" s="34" t="n"/>
      <c r="F43" s="33" t="n"/>
      <c r="G43" s="34" t="n"/>
      <c r="H43" s="33" t="n"/>
      <c r="I43" s="34" t="n"/>
      <c r="J43" s="33" t="n"/>
      <c r="K43" s="34" t="n"/>
      <c r="L43" s="33" t="n">
        <v>306220919</v>
      </c>
      <c r="M43" s="34" t="n">
        <v>0</v>
      </c>
      <c r="O43" s="28" t="n"/>
      <c r="P43" s="28" t="n"/>
    </row>
    <row r="44" outlineLevel="1" ht="15.75" customHeight="1">
      <c r="A44" s="37" t="inlineStr">
        <is>
          <t>GASTOS GENERALES</t>
        </is>
      </c>
      <c r="B44" s="33" t="n">
        <v>112250000</v>
      </c>
      <c r="C44" s="34" t="n">
        <v>106374553</v>
      </c>
      <c r="D44" s="33" t="n">
        <v>5875447</v>
      </c>
      <c r="E44" s="34" t="n">
        <v>5875446</v>
      </c>
      <c r="F44" s="33" t="n"/>
      <c r="G44" s="34" t="n"/>
      <c r="H44" s="33" t="n"/>
      <c r="I44" s="34" t="n"/>
      <c r="J44" s="33" t="n"/>
      <c r="K44" s="34" t="n"/>
      <c r="L44" s="33" t="n"/>
      <c r="M44" s="34" t="n"/>
      <c r="O44" s="28" t="n"/>
      <c r="P44" s="28" t="n"/>
    </row>
    <row r="45" ht="15.75" customHeight="1">
      <c r="A45" s="36" t="inlineStr">
        <is>
          <t>ESTUDIOS DE PRE INVERSIÓN</t>
        </is>
      </c>
      <c r="B45" s="30" t="n"/>
      <c r="C45" s="31" t="n"/>
      <c r="D45" s="30" t="n"/>
      <c r="E45" s="31" t="n"/>
      <c r="F45" s="30" t="n"/>
      <c r="G45" s="31" t="n"/>
      <c r="H45" s="30">
        <f>SUM(H46:H47)</f>
        <v/>
      </c>
      <c r="I45" s="31">
        <f>SUM(I46:I47)</f>
        <v/>
      </c>
      <c r="J45" s="30">
        <f>SUM(J46:J47)</f>
        <v/>
      </c>
      <c r="K45" s="31">
        <f>SUM(K46:K47)</f>
        <v/>
      </c>
      <c r="L45" s="30" t="n"/>
      <c r="M45" s="31" t="n"/>
      <c r="O45" s="28" t="n"/>
    </row>
    <row r="46" outlineLevel="1" ht="15.75" customHeight="1">
      <c r="A46" s="38" t="inlineStr">
        <is>
          <t>GASTOS DE PERSONAL</t>
        </is>
      </c>
      <c r="B46" s="36" t="n"/>
      <c r="C46" s="39" t="n"/>
      <c r="D46" s="36" t="n"/>
      <c r="E46" s="39" t="n"/>
      <c r="F46" s="36" t="n"/>
      <c r="G46" s="39" t="n"/>
      <c r="H46" s="36" t="n">
        <v>375333333</v>
      </c>
      <c r="I46" s="39" t="n">
        <v>375332516</v>
      </c>
      <c r="J46" s="36" t="n">
        <v>64473367</v>
      </c>
      <c r="K46" s="39" t="n">
        <v>64473367</v>
      </c>
      <c r="L46" s="36" t="n"/>
      <c r="M46" s="39" t="n"/>
      <c r="O46" s="28" t="n"/>
    </row>
    <row r="47" outlineLevel="1" ht="15.75" customHeight="1">
      <c r="A47" s="38" t="inlineStr">
        <is>
          <t>GASTOS GENERALES</t>
        </is>
      </c>
      <c r="B47" s="36" t="n"/>
      <c r="C47" s="39" t="n"/>
      <c r="D47" s="36" t="n"/>
      <c r="E47" s="39" t="n"/>
      <c r="F47" s="36" t="n"/>
      <c r="G47" s="39" t="n"/>
      <c r="H47" s="36" t="n">
        <v>50000000</v>
      </c>
      <c r="I47" s="39" t="n">
        <v>44626313</v>
      </c>
      <c r="J47" s="36" t="n">
        <v>119845395</v>
      </c>
      <c r="K47" s="39" t="n">
        <v>119845395</v>
      </c>
      <c r="L47" s="36" t="n"/>
      <c r="M47" s="39" t="n"/>
      <c r="O47" s="28" t="n"/>
    </row>
    <row r="48" ht="15.75" customHeight="1">
      <c r="A48" s="36" t="inlineStr">
        <is>
          <t>CONSTRUCCIÓN DE INFRAESTRUCTURA PROPIA DEL SECTOR</t>
        </is>
      </c>
      <c r="B48" s="30" t="n"/>
      <c r="C48" s="31" t="n"/>
      <c r="D48" s="30" t="n"/>
      <c r="E48" s="31" t="n"/>
      <c r="F48" s="30" t="n"/>
      <c r="G48" s="31" t="n"/>
      <c r="H48" s="30" t="n"/>
      <c r="I48" s="31" t="n"/>
      <c r="J48" s="30">
        <f>SUM(J49:J49)</f>
        <v/>
      </c>
      <c r="K48" s="31">
        <f>SUM(K49:K49)</f>
        <v/>
      </c>
      <c r="L48" s="30">
        <f>SUM(L49:L49)</f>
        <v/>
      </c>
      <c r="M48" s="31">
        <f>SUM(M49:M49)</f>
        <v/>
      </c>
      <c r="O48" s="28" t="n"/>
      <c r="P48" s="28" t="n"/>
    </row>
    <row r="49" outlineLevel="1" ht="15.75" customHeight="1">
      <c r="A49" s="38" t="inlineStr">
        <is>
          <t>GASTOS DE PERSONAL</t>
        </is>
      </c>
      <c r="B49" s="36" t="n"/>
      <c r="C49" s="39" t="n"/>
      <c r="D49" s="36" t="n"/>
      <c r="E49" s="39" t="n"/>
      <c r="F49" s="36" t="n"/>
      <c r="G49" s="39" t="n"/>
      <c r="H49" s="36" t="n"/>
      <c r="I49" s="39" t="n"/>
      <c r="J49" s="36" t="n">
        <v>333333333</v>
      </c>
      <c r="K49" s="39" t="n">
        <v>0</v>
      </c>
      <c r="L49" s="36" t="n">
        <v>12930000</v>
      </c>
      <c r="M49" s="39" t="n">
        <v>12930000</v>
      </c>
      <c r="O49" s="28" t="n"/>
      <c r="P49" s="28" t="n"/>
    </row>
    <row r="50" ht="15.75" customHeight="1">
      <c r="A50" s="15" t="inlineStr">
        <is>
          <t>- FONDOS ESPECIALES</t>
        </is>
      </c>
      <c r="B50" s="16">
        <f>+B51+B59+B66</f>
        <v/>
      </c>
      <c r="C50" s="17">
        <f>+C51+C59+C66</f>
        <v/>
      </c>
      <c r="D50" s="16">
        <f>+D51+D59+D66</f>
        <v/>
      </c>
      <c r="E50" s="17">
        <f>+E51+E59+E66</f>
        <v/>
      </c>
      <c r="F50" s="16">
        <f>+F51+F59+F66</f>
        <v/>
      </c>
      <c r="G50" s="17">
        <f>+G51+G59+G66</f>
        <v/>
      </c>
      <c r="H50" s="16">
        <f>+H51+H59+H66</f>
        <v/>
      </c>
      <c r="I50" s="17">
        <f>+I51+I59+I66</f>
        <v/>
      </c>
      <c r="J50" s="16">
        <f>+J51+J59+J66</f>
        <v/>
      </c>
      <c r="K50" s="17">
        <f>+K51+K59+K66</f>
        <v/>
      </c>
      <c r="L50" s="16">
        <f>+L51+L59+L66</f>
        <v/>
      </c>
      <c r="M50" s="17">
        <f>+M51+M59+M66</f>
        <v/>
      </c>
      <c r="O50" s="28" t="n"/>
      <c r="P50" s="28" t="n"/>
    </row>
    <row r="51" ht="15.75" customHeight="1">
      <c r="A51" s="40" t="inlineStr">
        <is>
          <t>GASTOS DESTINACION REGULADA</t>
        </is>
      </c>
      <c r="B51" s="23">
        <f>SUM(B52:B58)</f>
        <v/>
      </c>
      <c r="C51" s="24">
        <f>SUM(C52:C58)</f>
        <v/>
      </c>
      <c r="D51" s="23">
        <f>SUM(D52:D58)</f>
        <v/>
      </c>
      <c r="E51" s="24">
        <f>SUM(E52:E58)</f>
        <v/>
      </c>
      <c r="F51" s="23">
        <f>SUM(F52:F58)</f>
        <v/>
      </c>
      <c r="G51" s="24">
        <f>SUM(G52:G58)</f>
        <v/>
      </c>
      <c r="H51" s="23">
        <f>SUM(H52:H58)</f>
        <v/>
      </c>
      <c r="I51" s="24">
        <f>SUM(I52:I58)</f>
        <v/>
      </c>
      <c r="J51" s="23">
        <f>SUM(J52:J58)</f>
        <v/>
      </c>
      <c r="K51" s="24">
        <f>SUM(K52:K58)</f>
        <v/>
      </c>
      <c r="L51" s="23">
        <f>SUM(L52:L58)</f>
        <v/>
      </c>
      <c r="M51" s="24">
        <f>SUM(M52:M58)</f>
        <v/>
      </c>
      <c r="O51" s="28" t="n"/>
      <c r="P51" s="28" t="n"/>
    </row>
    <row r="52" outlineLevel="1" ht="15.75" customHeight="1">
      <c r="A52" s="37" t="inlineStr">
        <is>
          <t>SERVICIOS PERSONALES INDIRECTOS - REGULADA</t>
        </is>
      </c>
      <c r="B52" s="33" t="n">
        <v>396041958</v>
      </c>
      <c r="C52" s="34" t="n">
        <v>87327784</v>
      </c>
      <c r="D52" s="33" t="n">
        <v>113183529</v>
      </c>
      <c r="E52" s="34" t="n">
        <v>74132027</v>
      </c>
      <c r="F52" s="33" t="n">
        <v>232611262</v>
      </c>
      <c r="G52" s="34" t="n">
        <v>131322867</v>
      </c>
      <c r="H52" s="33" t="n">
        <v>321335957</v>
      </c>
      <c r="I52" s="34" t="n">
        <v>316247670</v>
      </c>
      <c r="J52" s="33" t="n">
        <v>204583862</v>
      </c>
      <c r="K52" s="34" t="n">
        <v>148093641</v>
      </c>
      <c r="L52" s="33" t="n">
        <v>126730493</v>
      </c>
      <c r="M52" s="34" t="n">
        <v>115633883</v>
      </c>
      <c r="O52" s="28" t="n"/>
      <c r="P52" s="28" t="n"/>
    </row>
    <row r="53" outlineLevel="1" ht="15.75" customHeight="1">
      <c r="A53" s="37" t="inlineStr">
        <is>
          <t>ADQUISICIÓN DE BIENES - REGULADA</t>
        </is>
      </c>
      <c r="B53" s="33" t="n">
        <v>248668321</v>
      </c>
      <c r="C53" s="34" t="n">
        <v>8221193</v>
      </c>
      <c r="D53" s="33" t="n">
        <v>36736979</v>
      </c>
      <c r="E53" s="34" t="n">
        <v>8354128</v>
      </c>
      <c r="F53" s="33" t="n">
        <v>107219500</v>
      </c>
      <c r="G53" s="34" t="n">
        <v>15008074</v>
      </c>
      <c r="H53" s="33" t="n">
        <v>34591714</v>
      </c>
      <c r="I53" s="34" t="n">
        <v>27880578</v>
      </c>
      <c r="J53" s="33" t="n">
        <v>52617222</v>
      </c>
      <c r="K53" s="34" t="n">
        <v>18479222</v>
      </c>
      <c r="L53" s="33" t="n">
        <v>21476675</v>
      </c>
      <c r="M53" s="34" t="n">
        <v>12268046</v>
      </c>
      <c r="O53" s="28" t="n"/>
      <c r="P53" s="28" t="n"/>
    </row>
    <row r="54" outlineLevel="1" ht="15.75" customHeight="1">
      <c r="A54" s="37" t="inlineStr">
        <is>
          <t>ADQUISICIÓN DE SERVICIOS - REGULADA</t>
        </is>
      </c>
      <c r="B54" s="33" t="n">
        <v>125017162</v>
      </c>
      <c r="C54" s="34" t="n">
        <v>50695275</v>
      </c>
      <c r="D54" s="33" t="n">
        <v>332053914</v>
      </c>
      <c r="E54" s="34" t="n">
        <v>75830486</v>
      </c>
      <c r="F54" s="33" t="n">
        <v>223638738</v>
      </c>
      <c r="G54" s="34" t="n">
        <v>60322821</v>
      </c>
      <c r="H54" s="33" t="n">
        <v>199303021</v>
      </c>
      <c r="I54" s="34" t="n">
        <v>185988341</v>
      </c>
      <c r="J54" s="33" t="n">
        <v>139691011</v>
      </c>
      <c r="K54" s="34" t="n">
        <v>72923265</v>
      </c>
      <c r="L54" s="33" t="n">
        <v>172781364</v>
      </c>
      <c r="M54" s="34" t="n">
        <v>142501617</v>
      </c>
      <c r="O54" s="28" t="n"/>
      <c r="P54" s="28" t="n"/>
    </row>
    <row r="55" outlineLevel="1" ht="15.75" customHeight="1">
      <c r="A55" s="37" t="inlineStr">
        <is>
          <t>TRANSFERENCIAS OPERACIONES INTERNAS SIN CONTRAPRESTACIÓN - REGULADA</t>
        </is>
      </c>
      <c r="B55" s="33" t="n">
        <v>10000000</v>
      </c>
      <c r="C55" s="34" t="n">
        <v>0</v>
      </c>
      <c r="D55" s="33" t="n">
        <v>20000000</v>
      </c>
      <c r="E55" s="34" t="n">
        <v>0</v>
      </c>
      <c r="F55" s="33" t="n">
        <v>10000000</v>
      </c>
      <c r="G55" s="34" t="n">
        <v>0</v>
      </c>
      <c r="H55" s="33" t="n"/>
      <c r="I55" s="34" t="n"/>
      <c r="J55" s="33" t="n"/>
      <c r="K55" s="34" t="n"/>
      <c r="L55" s="33" t="n"/>
      <c r="M55" s="34" t="n"/>
      <c r="O55" s="28" t="n"/>
      <c r="P55" s="28" t="n"/>
    </row>
    <row r="56" outlineLevel="1" ht="15.75" customHeight="1">
      <c r="A56" s="37" t="inlineStr">
        <is>
          <t>PRESUPUESTO POR DISTRIBUIR - REGULADA</t>
        </is>
      </c>
      <c r="B56" s="33" t="n">
        <v>100000</v>
      </c>
      <c r="C56" s="34" t="n">
        <v>0</v>
      </c>
      <c r="D56" s="33" t="n"/>
      <c r="E56" s="34" t="n"/>
      <c r="F56" s="33" t="n">
        <v>140876930</v>
      </c>
      <c r="G56" s="34" t="n">
        <v>0</v>
      </c>
      <c r="H56" s="33" t="n"/>
      <c r="I56" s="34" t="n"/>
      <c r="J56" s="33" t="n">
        <v>52309348</v>
      </c>
      <c r="K56" s="34" t="n">
        <v>0</v>
      </c>
      <c r="L56" s="33" t="n">
        <v>21213364</v>
      </c>
      <c r="M56" s="34" t="n">
        <v>0</v>
      </c>
      <c r="O56" s="28" t="n"/>
      <c r="P56" s="28" t="n"/>
    </row>
    <row r="57" outlineLevel="1" ht="15.75" customHeight="1">
      <c r="A57" s="37" t="inlineStr">
        <is>
          <t>IMPUESTOS  CONTRIBUCIONES  Y MULTAS - REGULADA</t>
        </is>
      </c>
      <c r="B57" s="33" t="n"/>
      <c r="C57" s="34" t="n"/>
      <c r="D57" s="33" t="n"/>
      <c r="E57" s="34" t="n"/>
      <c r="F57" s="33" t="n">
        <v>68750000</v>
      </c>
      <c r="G57" s="34" t="n">
        <v>15099102</v>
      </c>
      <c r="H57" s="33" t="n"/>
      <c r="I57" s="34" t="n"/>
      <c r="J57" s="33" t="n">
        <v>13610000</v>
      </c>
      <c r="K57" s="34" t="n">
        <v>13609921</v>
      </c>
      <c r="L57" s="33" t="n"/>
      <c r="M57" s="34" t="n"/>
      <c r="O57" s="28" t="n"/>
      <c r="P57" s="28" t="n"/>
    </row>
    <row r="58" outlineLevel="1" ht="15.75" customHeight="1">
      <c r="A58" s="37" t="inlineStr">
        <is>
          <t>BIENESTAR UNIVERSITARIO - REGULADA</t>
        </is>
      </c>
      <c r="B58" s="33" t="n"/>
      <c r="C58" s="34" t="n"/>
      <c r="D58" s="33" t="n"/>
      <c r="E58" s="34" t="n"/>
      <c r="F58" s="33" t="n"/>
      <c r="G58" s="34" t="n"/>
      <c r="H58" s="33" t="n"/>
      <c r="I58" s="34" t="n"/>
      <c r="J58" s="33" t="n"/>
      <c r="K58" s="34" t="n"/>
      <c r="L58" s="33" t="n">
        <v>95029565</v>
      </c>
      <c r="M58" s="34" t="n">
        <v>85340000</v>
      </c>
      <c r="O58" s="28" t="n"/>
      <c r="P58" s="28" t="n"/>
    </row>
    <row r="59" ht="15.75" customHeight="1">
      <c r="A59" s="36" t="inlineStr">
        <is>
          <t>GASTOS DE DESTINACIÓN ESPECIFICA</t>
        </is>
      </c>
      <c r="B59" s="30">
        <f>SUM(B60:B65)</f>
        <v/>
      </c>
      <c r="C59" s="31">
        <f>SUM(C60:C65)</f>
        <v/>
      </c>
      <c r="D59" s="30">
        <f>SUM(D60:D65)</f>
        <v/>
      </c>
      <c r="E59" s="31">
        <f>SUM(E60:E65)</f>
        <v/>
      </c>
      <c r="F59" s="30">
        <f>SUM(F60:F65)</f>
        <v/>
      </c>
      <c r="G59" s="31">
        <f>SUM(G60:G65)</f>
        <v/>
      </c>
      <c r="H59" s="30">
        <f>SUM(H60:H65)</f>
        <v/>
      </c>
      <c r="I59" s="31">
        <f>SUM(I60:I65)</f>
        <v/>
      </c>
      <c r="J59" s="30">
        <f>SUM(J60:J65)</f>
        <v/>
      </c>
      <c r="K59" s="31">
        <f>SUM(K60:K65)</f>
        <v/>
      </c>
      <c r="L59" s="30">
        <f>SUM(L60:L65)</f>
        <v/>
      </c>
      <c r="M59" s="31">
        <f>SUM(M60:M65)</f>
        <v/>
      </c>
      <c r="O59" s="28" t="n"/>
      <c r="P59" s="28" t="n"/>
    </row>
    <row r="60" outlineLevel="1" ht="15.75" customHeight="1">
      <c r="A60" s="37" t="inlineStr">
        <is>
          <t>SERVICIOS PERSONALES INDIRECTOS - ESPECIFICA</t>
        </is>
      </c>
      <c r="B60" s="33" t="n">
        <v>190625002</v>
      </c>
      <c r="C60" s="34" t="n">
        <v>137547998</v>
      </c>
      <c r="D60" s="33" t="n">
        <v>421828496</v>
      </c>
      <c r="E60" s="34" t="n">
        <v>373195836</v>
      </c>
      <c r="F60" s="33" t="n">
        <v>183476441</v>
      </c>
      <c r="G60" s="34" t="n">
        <v>177361111</v>
      </c>
      <c r="H60" s="33" t="n">
        <v>1235198411</v>
      </c>
      <c r="I60" s="34" t="n">
        <v>1147856033</v>
      </c>
      <c r="J60" s="33" t="n">
        <v>222942614</v>
      </c>
      <c r="K60" s="34" t="n">
        <v>150016463</v>
      </c>
      <c r="L60" s="33" t="n">
        <v>500997269</v>
      </c>
      <c r="M60" s="34" t="n">
        <v>417832435</v>
      </c>
      <c r="O60" s="28" t="n"/>
      <c r="P60" s="28" t="n"/>
    </row>
    <row r="61" outlineLevel="1" ht="15.75" customHeight="1">
      <c r="A61" s="37" t="inlineStr">
        <is>
          <t>ADQUISICIÓN DE BIENES - ESPECIFICA</t>
        </is>
      </c>
      <c r="B61" s="33" t="n">
        <v>50493660</v>
      </c>
      <c r="C61" s="34" t="n">
        <v>27625487</v>
      </c>
      <c r="D61" s="33" t="n">
        <v>45324326</v>
      </c>
      <c r="E61" s="34" t="n">
        <v>35821175</v>
      </c>
      <c r="F61" s="33" t="n">
        <v>142823311</v>
      </c>
      <c r="G61" s="34" t="n">
        <v>131816447</v>
      </c>
      <c r="H61" s="33" t="n">
        <v>173250421</v>
      </c>
      <c r="I61" s="34" t="n">
        <v>159963688</v>
      </c>
      <c r="J61" s="33" t="n">
        <v>38546720</v>
      </c>
      <c r="K61" s="34" t="n">
        <v>30817633</v>
      </c>
      <c r="L61" s="33" t="n">
        <v>110617825</v>
      </c>
      <c r="M61" s="34" t="n">
        <v>55963555</v>
      </c>
      <c r="O61" s="28" t="n"/>
      <c r="P61" s="28" t="n"/>
    </row>
    <row r="62" outlineLevel="1" ht="15.75" customHeight="1">
      <c r="A62" s="37" t="inlineStr">
        <is>
          <t>ADQUISICIÓN DE SERVICIOS - ESPECIFICA</t>
        </is>
      </c>
      <c r="B62" s="33" t="n">
        <v>203595326</v>
      </c>
      <c r="C62" s="34" t="n">
        <v>109526751</v>
      </c>
      <c r="D62" s="33" t="n">
        <v>249563198</v>
      </c>
      <c r="E62" s="34" t="n">
        <v>168536980</v>
      </c>
      <c r="F62" s="33" t="n">
        <v>206995433</v>
      </c>
      <c r="G62" s="34" t="n">
        <v>137210956</v>
      </c>
      <c r="H62" s="33" t="n">
        <v>1091173621</v>
      </c>
      <c r="I62" s="34" t="n">
        <v>954567993</v>
      </c>
      <c r="J62" s="33" t="n">
        <v>100692857</v>
      </c>
      <c r="K62" s="34" t="n">
        <v>33673156</v>
      </c>
      <c r="L62" s="33" t="n">
        <v>362970521</v>
      </c>
      <c r="M62" s="34" t="n">
        <v>234796856</v>
      </c>
      <c r="O62" s="28" t="n"/>
      <c r="P62" s="28" t="n"/>
    </row>
    <row r="63" outlineLevel="1" ht="15.75" customHeight="1">
      <c r="A63" s="37" t="inlineStr">
        <is>
          <t>TRANSFERENCIAS OPERACIONES INTERNAS SIN CONTRAPRESTACIÓN - ESPECIFICA</t>
        </is>
      </c>
      <c r="B63" s="33" t="n">
        <v>1127944882</v>
      </c>
      <c r="C63" s="34" t="n">
        <v>911767668</v>
      </c>
      <c r="D63" s="33" t="n">
        <v>661628195</v>
      </c>
      <c r="E63" s="34" t="n">
        <v>379513438</v>
      </c>
      <c r="F63" s="33" t="n">
        <v>388368919</v>
      </c>
      <c r="G63" s="34" t="n">
        <v>52092068</v>
      </c>
      <c r="H63" s="33" t="n">
        <v>1383965209</v>
      </c>
      <c r="I63" s="34" t="n">
        <v>412408417</v>
      </c>
      <c r="J63" s="33" t="n">
        <v>1287357860</v>
      </c>
      <c r="K63" s="34" t="n">
        <v>764758542</v>
      </c>
      <c r="L63" s="33" t="n">
        <v>725295735</v>
      </c>
      <c r="M63" s="34" t="n">
        <v>312187836</v>
      </c>
      <c r="O63" s="28" t="n"/>
      <c r="P63" s="28" t="n"/>
    </row>
    <row r="64" outlineLevel="1" ht="15.75" customHeight="1">
      <c r="A64" s="37" t="inlineStr">
        <is>
          <t>BIENESTAR UNIVERSITARIO - ESPECIFICA</t>
        </is>
      </c>
      <c r="B64" s="33" t="n"/>
      <c r="C64" s="34" t="n"/>
      <c r="D64" s="33" t="n"/>
      <c r="E64" s="34" t="n"/>
      <c r="F64" s="33" t="n"/>
      <c r="G64" s="34" t="n"/>
      <c r="H64" s="33" t="n">
        <v>62928</v>
      </c>
      <c r="I64" s="34" t="n">
        <v>0</v>
      </c>
      <c r="J64" s="33" t="n"/>
      <c r="K64" s="34" t="n"/>
      <c r="L64" s="33" t="n"/>
      <c r="M64" s="34" t="n"/>
    </row>
    <row r="65" outlineLevel="1" ht="15.75" customHeight="1">
      <c r="A65" s="44" t="inlineStr">
        <is>
          <t>PRESPUESTO POR DISTRIBUIR - GASTOS DE DESTINACIÓN ESPECÍFICA</t>
        </is>
      </c>
      <c r="B65" s="26" t="n">
        <v>13408474</v>
      </c>
      <c r="C65" s="27" t="n">
        <v>0</v>
      </c>
      <c r="D65" s="26" t="n">
        <v>113765099</v>
      </c>
      <c r="E65" s="27" t="n">
        <v>0</v>
      </c>
      <c r="F65" s="26" t="n">
        <v>10077666</v>
      </c>
      <c r="G65" s="27" t="n">
        <v>0</v>
      </c>
      <c r="H65" s="26" t="n">
        <v>1</v>
      </c>
      <c r="I65" s="27" t="n">
        <v>0</v>
      </c>
      <c r="J65" s="26" t="n">
        <v>283644971</v>
      </c>
      <c r="K65" s="27" t="n">
        <v>0</v>
      </c>
      <c r="L65" s="26" t="n">
        <v>834759198</v>
      </c>
      <c r="M65" s="27" t="n">
        <v>0</v>
      </c>
    </row>
    <row r="66" ht="15.75" customHeight="1">
      <c r="A66" s="36" t="inlineStr">
        <is>
          <t>GASTOS DE DESTINACION ESPECIFICA  UGI FONDO</t>
        </is>
      </c>
      <c r="B66" s="30">
        <f>SUM(B67:B72)</f>
        <v/>
      </c>
      <c r="C66" s="31">
        <f>SUM(C67:C72)</f>
        <v/>
      </c>
      <c r="D66" s="30">
        <f>SUM(D67:D72)</f>
        <v/>
      </c>
      <c r="E66" s="31">
        <f>SUM(E67:E72)</f>
        <v/>
      </c>
      <c r="F66" s="30">
        <f>SUM(F67:F72)</f>
        <v/>
      </c>
      <c r="G66" s="31">
        <f>SUM(G67:G72)</f>
        <v/>
      </c>
      <c r="H66" s="30">
        <f>SUM(H67:H72)</f>
        <v/>
      </c>
      <c r="I66" s="31">
        <f>SUM(I67:I72)</f>
        <v/>
      </c>
      <c r="J66" s="30">
        <f>SUM(J67:J72)</f>
        <v/>
      </c>
      <c r="K66" s="31">
        <f>SUM(K67:K72)</f>
        <v/>
      </c>
      <c r="L66" s="30">
        <f>SUM(L67:L72)</f>
        <v/>
      </c>
      <c r="M66" s="31">
        <f>SUM(M67:M72)</f>
        <v/>
      </c>
    </row>
    <row r="67" outlineLevel="1" ht="15.75" customHeight="1">
      <c r="A67" s="37" t="inlineStr">
        <is>
          <t>SERVICIOS PERSONALES INDIRECTOS -  ESPECIFICA UGI FONDO</t>
        </is>
      </c>
      <c r="B67" s="33" t="n">
        <v>247769356</v>
      </c>
      <c r="C67" s="34" t="n">
        <v>59012591</v>
      </c>
      <c r="D67" s="33" t="n">
        <v>878250049</v>
      </c>
      <c r="E67" s="34" t="n">
        <v>447551025</v>
      </c>
      <c r="F67" s="33" t="n">
        <v>829877721</v>
      </c>
      <c r="G67" s="34" t="n">
        <v>439829656</v>
      </c>
      <c r="H67" s="33" t="n">
        <v>1301037302</v>
      </c>
      <c r="I67" s="34" t="n">
        <v>1087965572</v>
      </c>
      <c r="J67" s="33" t="n">
        <v>260790661</v>
      </c>
      <c r="K67" s="34" t="n">
        <v>160872044</v>
      </c>
      <c r="L67" s="33" t="n">
        <v>114527494</v>
      </c>
      <c r="M67" s="34" t="n">
        <v>47987086</v>
      </c>
    </row>
    <row r="68" outlineLevel="1" ht="15.75" customHeight="1">
      <c r="A68" s="37" t="inlineStr">
        <is>
          <t>ADQUISICIÓN DE BIENES - ESPECIFICA UGI FONDO</t>
        </is>
      </c>
      <c r="B68" s="33" t="n">
        <v>105981895</v>
      </c>
      <c r="C68" s="34" t="n">
        <v>43759158</v>
      </c>
      <c r="D68" s="33" t="n">
        <v>324143766</v>
      </c>
      <c r="E68" s="34" t="n">
        <v>124167110</v>
      </c>
      <c r="F68" s="33" t="n">
        <v>467988043</v>
      </c>
      <c r="G68" s="34" t="n">
        <v>221700921</v>
      </c>
      <c r="H68" s="33" t="n">
        <v>334834317</v>
      </c>
      <c r="I68" s="34" t="n">
        <v>265550516</v>
      </c>
      <c r="J68" s="33" t="n">
        <v>85422803</v>
      </c>
      <c r="K68" s="34" t="n">
        <v>3126713</v>
      </c>
      <c r="L68" s="33" t="n">
        <v>235659024</v>
      </c>
      <c r="M68" s="34" t="n">
        <v>76948782</v>
      </c>
    </row>
    <row r="69" outlineLevel="1" ht="15.75" customHeight="1">
      <c r="A69" s="37" t="inlineStr">
        <is>
          <t>ADQUISICIÓN DE SERVICIOS - ESPECIFICA UGI FONDO</t>
        </is>
      </c>
      <c r="B69" s="33" t="n">
        <v>347085688</v>
      </c>
      <c r="C69" s="34" t="n">
        <v>20650894</v>
      </c>
      <c r="D69" s="33" t="n">
        <v>591817199</v>
      </c>
      <c r="E69" s="34" t="n">
        <v>119022479</v>
      </c>
      <c r="F69" s="33" t="n">
        <v>628691343</v>
      </c>
      <c r="G69" s="34" t="n">
        <v>288009696</v>
      </c>
      <c r="H69" s="33" t="n">
        <v>957502209</v>
      </c>
      <c r="I69" s="34" t="n">
        <v>748535380</v>
      </c>
      <c r="J69" s="33" t="n">
        <v>301560519</v>
      </c>
      <c r="K69" s="34" t="n">
        <v>19141009</v>
      </c>
      <c r="L69" s="33" t="n">
        <v>377281858</v>
      </c>
      <c r="M69" s="34" t="n">
        <v>62884238</v>
      </c>
    </row>
    <row r="70" outlineLevel="1" ht="15.75" customHeight="1">
      <c r="A70" s="37" t="inlineStr">
        <is>
          <t>TRANSFERENCIAS OPERACIONES INTERNAS SIN CONTRAPRESTACIÓN - ESPECIFICA UGI FONDO</t>
        </is>
      </c>
      <c r="B70" s="33" t="n">
        <v>82517984</v>
      </c>
      <c r="C70" s="34" t="n">
        <v>0</v>
      </c>
      <c r="D70" s="33" t="n">
        <v>127416304</v>
      </c>
      <c r="E70" s="34" t="n">
        <v>43975</v>
      </c>
      <c r="F70" s="33" t="n">
        <v>276893696</v>
      </c>
      <c r="G70" s="34" t="n">
        <v>0</v>
      </c>
      <c r="H70" s="33" t="n">
        <v>320443331</v>
      </c>
      <c r="I70" s="34" t="n">
        <v>131</v>
      </c>
      <c r="J70" s="33" t="n">
        <v>295518209</v>
      </c>
      <c r="K70" s="34" t="n">
        <v>96000000</v>
      </c>
      <c r="L70" s="33" t="n">
        <v>377739946</v>
      </c>
      <c r="M70" s="34" t="n">
        <v>63838595</v>
      </c>
      <c r="O70" s="28" t="n"/>
      <c r="P70" s="28" t="n"/>
    </row>
    <row r="71" outlineLevel="1" ht="15.75" customHeight="1">
      <c r="A71" s="37" t="inlineStr">
        <is>
          <t>PRESUPUESTO POR DISTRIBUIR -  ESPECIFICA UGI FONDO</t>
        </is>
      </c>
      <c r="B71" s="33" t="n">
        <v>13694017</v>
      </c>
      <c r="C71" s="34" t="n">
        <v>0</v>
      </c>
      <c r="D71" s="33" t="n">
        <v>63821484</v>
      </c>
      <c r="E71" s="34" t="n">
        <v>0</v>
      </c>
      <c r="F71" s="33" t="n"/>
      <c r="G71" s="34" t="n"/>
      <c r="H71" s="33" t="n"/>
      <c r="I71" s="34" t="n"/>
      <c r="J71" s="33" t="n">
        <v>295313218</v>
      </c>
      <c r="K71" s="34" t="n">
        <v>0</v>
      </c>
      <c r="L71" s="33" t="n">
        <v>452570847</v>
      </c>
      <c r="M71" s="34" t="n">
        <v>0</v>
      </c>
      <c r="O71" s="28" t="n"/>
      <c r="P71" s="28" t="n"/>
    </row>
    <row r="72" outlineLevel="1" ht="15.75" customHeight="1">
      <c r="A72" s="41" t="inlineStr">
        <is>
          <t>VIGENCIAS EXPIRADAS -  ESPECIFICA UGI FONDO</t>
        </is>
      </c>
      <c r="B72" s="42" t="n"/>
      <c r="C72" s="43" t="n"/>
      <c r="D72" s="42" t="n">
        <v>12550000</v>
      </c>
      <c r="E72" s="43" t="n">
        <v>12550000</v>
      </c>
      <c r="F72" s="42" t="n">
        <v>21149907</v>
      </c>
      <c r="G72" s="43" t="n">
        <v>21141907</v>
      </c>
      <c r="H72" s="42" t="n"/>
      <c r="I72" s="43" t="n"/>
      <c r="J72" s="42" t="n"/>
      <c r="K72" s="43" t="n"/>
      <c r="L72" s="42" t="n"/>
      <c r="M72" s="43" t="n"/>
      <c r="O72" s="28" t="n"/>
      <c r="P72" s="28" t="n"/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Lucio Muñoz Adarme</dc:creator>
  <dcterms:created xmlns:dcterms="http://purl.org/dc/terms/" xmlns:xsi="http://www.w3.org/2001/XMLSchema-instance" xsi:type="dcterms:W3CDTF">2024-12-12T06:49:01Z</dcterms:created>
  <dcterms:modified xmlns:dcterms="http://purl.org/dc/terms/" xmlns:xsi="http://www.w3.org/2001/XMLSchema-instance" xsi:type="dcterms:W3CDTF">2026-09-22T22:05:56Z</dcterms:modified>
  <cp:lastModifiedBy>Lucio Muñoz Adarme</cp:lastModifiedBy>
</cp:coreProperties>
</file>