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1_D5C34BD39063A83EE546089658ABEE39EC802211" xr6:coauthVersionLast="47" xr6:coauthVersionMax="47" xr10:uidLastSave="{00000000-0000-0000-0000-000000000000}"/>
  <workbookProtection lockStructure="1"/>
  <bookViews>
    <workbookView xWindow="0" yWindow="600" windowWidth="34260" windowHeight="166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1" l="1"/>
  <c r="J129" i="1"/>
  <c r="I129" i="1"/>
  <c r="H129" i="1"/>
  <c r="C129" i="1"/>
  <c r="B129" i="1"/>
  <c r="E127" i="1"/>
  <c r="D127" i="1"/>
  <c r="C127" i="1"/>
  <c r="B127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B119" i="1" s="1"/>
  <c r="B54" i="1" s="1"/>
  <c r="B53" i="1" s="1"/>
  <c r="M119" i="1"/>
  <c r="L119" i="1"/>
  <c r="K119" i="1"/>
  <c r="J119" i="1"/>
  <c r="I119" i="1"/>
  <c r="H119" i="1"/>
  <c r="G119" i="1"/>
  <c r="F119" i="1"/>
  <c r="E119" i="1"/>
  <c r="D119" i="1"/>
  <c r="C119" i="1"/>
  <c r="M117" i="1"/>
  <c r="L117" i="1"/>
  <c r="K117" i="1"/>
  <c r="J117" i="1"/>
  <c r="I117" i="1"/>
  <c r="H117" i="1"/>
  <c r="I115" i="1"/>
  <c r="H115" i="1"/>
  <c r="G115" i="1"/>
  <c r="F115" i="1"/>
  <c r="M113" i="1"/>
  <c r="L113" i="1"/>
  <c r="K113" i="1"/>
  <c r="J113" i="1"/>
  <c r="I113" i="1"/>
  <c r="H113" i="1"/>
  <c r="G113" i="1"/>
  <c r="F113" i="1"/>
  <c r="E113" i="1"/>
  <c r="D113" i="1"/>
  <c r="M111" i="1"/>
  <c r="L111" i="1"/>
  <c r="K111" i="1"/>
  <c r="J111" i="1"/>
  <c r="I111" i="1"/>
  <c r="H111" i="1"/>
  <c r="G111" i="1"/>
  <c r="F111" i="1"/>
  <c r="E111" i="1"/>
  <c r="D111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M97" i="1"/>
  <c r="L97" i="1"/>
  <c r="K97" i="1"/>
  <c r="J97" i="1"/>
  <c r="I97" i="1"/>
  <c r="H97" i="1"/>
  <c r="G97" i="1"/>
  <c r="F97" i="1"/>
  <c r="E97" i="1"/>
  <c r="D97" i="1"/>
  <c r="C97" i="1"/>
  <c r="B97" i="1"/>
  <c r="M95" i="1"/>
  <c r="L95" i="1"/>
  <c r="K95" i="1"/>
  <c r="J95" i="1"/>
  <c r="I95" i="1"/>
  <c r="H95" i="1"/>
  <c r="G95" i="1"/>
  <c r="F95" i="1"/>
  <c r="E95" i="1"/>
  <c r="D95" i="1"/>
  <c r="C95" i="1"/>
  <c r="B95" i="1"/>
  <c r="M89" i="1"/>
  <c r="L89" i="1"/>
  <c r="K89" i="1"/>
  <c r="J89" i="1"/>
  <c r="I89" i="1"/>
  <c r="H89" i="1"/>
  <c r="G89" i="1"/>
  <c r="F89" i="1"/>
  <c r="E89" i="1"/>
  <c r="D89" i="1"/>
  <c r="C89" i="1"/>
  <c r="B89" i="1"/>
  <c r="M85" i="1"/>
  <c r="L85" i="1"/>
  <c r="K85" i="1"/>
  <c r="J85" i="1"/>
  <c r="I85" i="1"/>
  <c r="H85" i="1"/>
  <c r="G85" i="1"/>
  <c r="F85" i="1"/>
  <c r="E85" i="1"/>
  <c r="D85" i="1"/>
  <c r="C85" i="1"/>
  <c r="B85" i="1"/>
  <c r="M82" i="1"/>
  <c r="L82" i="1"/>
  <c r="K82" i="1"/>
  <c r="J82" i="1"/>
  <c r="I82" i="1"/>
  <c r="H82" i="1"/>
  <c r="G82" i="1"/>
  <c r="F82" i="1"/>
  <c r="E82" i="1"/>
  <c r="D82" i="1"/>
  <c r="C82" i="1"/>
  <c r="B82" i="1"/>
  <c r="M80" i="1"/>
  <c r="L80" i="1"/>
  <c r="K80" i="1"/>
  <c r="J80" i="1"/>
  <c r="I80" i="1"/>
  <c r="H80" i="1"/>
  <c r="G80" i="1"/>
  <c r="F80" i="1"/>
  <c r="E80" i="1"/>
  <c r="D80" i="1"/>
  <c r="C80" i="1"/>
  <c r="B80" i="1"/>
  <c r="M77" i="1"/>
  <c r="L77" i="1"/>
  <c r="K77" i="1"/>
  <c r="J77" i="1"/>
  <c r="I77" i="1"/>
  <c r="H77" i="1"/>
  <c r="G77" i="1"/>
  <c r="F77" i="1"/>
  <c r="E77" i="1"/>
  <c r="D77" i="1"/>
  <c r="C77" i="1"/>
  <c r="B77" i="1"/>
  <c r="M67" i="1"/>
  <c r="L67" i="1"/>
  <c r="K67" i="1"/>
  <c r="J67" i="1"/>
  <c r="I67" i="1"/>
  <c r="H67" i="1"/>
  <c r="G67" i="1"/>
  <c r="F67" i="1"/>
  <c r="E67" i="1"/>
  <c r="D67" i="1"/>
  <c r="C67" i="1"/>
  <c r="B67" i="1"/>
  <c r="M60" i="1"/>
  <c r="L60" i="1"/>
  <c r="K60" i="1"/>
  <c r="J60" i="1"/>
  <c r="I60" i="1"/>
  <c r="H60" i="1"/>
  <c r="G60" i="1"/>
  <c r="F60" i="1"/>
  <c r="E60" i="1"/>
  <c r="D60" i="1"/>
  <c r="C60" i="1"/>
  <c r="B60" i="1"/>
  <c r="M56" i="1"/>
  <c r="L56" i="1"/>
  <c r="K56" i="1"/>
  <c r="J56" i="1"/>
  <c r="I56" i="1"/>
  <c r="H56" i="1"/>
  <c r="G56" i="1"/>
  <c r="F56" i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M53" i="1"/>
  <c r="L53" i="1"/>
  <c r="K53" i="1"/>
  <c r="J53" i="1"/>
  <c r="I53" i="1"/>
  <c r="H53" i="1"/>
  <c r="G53" i="1"/>
  <c r="F53" i="1"/>
  <c r="E53" i="1"/>
  <c r="D53" i="1"/>
  <c r="C53" i="1"/>
  <c r="M51" i="1"/>
  <c r="L51" i="1"/>
  <c r="K51" i="1"/>
  <c r="J51" i="1"/>
  <c r="I51" i="1"/>
  <c r="H51" i="1"/>
  <c r="G51" i="1"/>
  <c r="F51" i="1"/>
  <c r="E51" i="1"/>
  <c r="D51" i="1"/>
  <c r="C51" i="1"/>
  <c r="B51" i="1"/>
  <c r="M49" i="1"/>
  <c r="L49" i="1"/>
  <c r="K49" i="1"/>
  <c r="J49" i="1"/>
  <c r="I49" i="1"/>
  <c r="H49" i="1"/>
  <c r="G49" i="1"/>
  <c r="F49" i="1"/>
  <c r="E49" i="1"/>
  <c r="D49" i="1"/>
  <c r="C49" i="1"/>
  <c r="B49" i="1"/>
  <c r="M48" i="1"/>
  <c r="L48" i="1"/>
  <c r="K48" i="1"/>
  <c r="J48" i="1"/>
  <c r="I48" i="1"/>
  <c r="H48" i="1"/>
  <c r="G48" i="1"/>
  <c r="F48" i="1"/>
  <c r="E48" i="1"/>
  <c r="D48" i="1"/>
  <c r="C48" i="1"/>
  <c r="B48" i="1"/>
  <c r="M45" i="1"/>
  <c r="L45" i="1"/>
  <c r="K45" i="1"/>
  <c r="J45" i="1"/>
  <c r="I45" i="1"/>
  <c r="H45" i="1"/>
  <c r="G45" i="1"/>
  <c r="F45" i="1"/>
  <c r="E45" i="1"/>
  <c r="D45" i="1"/>
  <c r="C45" i="1"/>
  <c r="B45" i="1"/>
  <c r="M44" i="1"/>
  <c r="L44" i="1"/>
  <c r="K44" i="1"/>
  <c r="J44" i="1"/>
  <c r="I44" i="1"/>
  <c r="H44" i="1"/>
  <c r="G44" i="1"/>
  <c r="F44" i="1"/>
  <c r="E44" i="1"/>
  <c r="D44" i="1"/>
  <c r="C44" i="1"/>
  <c r="B44" i="1"/>
  <c r="K42" i="1"/>
  <c r="J42" i="1"/>
  <c r="I42" i="1"/>
  <c r="H42" i="1"/>
  <c r="G42" i="1"/>
  <c r="F42" i="1"/>
  <c r="E42" i="1"/>
  <c r="D42" i="1"/>
  <c r="M40" i="1"/>
  <c r="L40" i="1"/>
  <c r="K40" i="1"/>
  <c r="J40" i="1"/>
  <c r="I40" i="1"/>
  <c r="H40" i="1"/>
  <c r="G40" i="1"/>
  <c r="F40" i="1"/>
  <c r="E40" i="1"/>
  <c r="D40" i="1"/>
  <c r="C40" i="1"/>
  <c r="B40" i="1"/>
  <c r="M31" i="1"/>
  <c r="L31" i="1"/>
  <c r="K31" i="1"/>
  <c r="J31" i="1"/>
  <c r="I31" i="1"/>
  <c r="H31" i="1"/>
  <c r="G31" i="1"/>
  <c r="F31" i="1"/>
  <c r="E31" i="1"/>
  <c r="D31" i="1"/>
  <c r="C31" i="1"/>
  <c r="B31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I7" i="1" s="1"/>
  <c r="I6" i="1" s="1"/>
  <c r="I5" i="1" s="1"/>
  <c r="H28" i="1"/>
  <c r="H7" i="1" s="1"/>
  <c r="H6" i="1" s="1"/>
  <c r="H5" i="1" s="1"/>
  <c r="G28" i="1"/>
  <c r="G7" i="1" s="1"/>
  <c r="G6" i="1" s="1"/>
  <c r="G5" i="1" s="1"/>
  <c r="F28" i="1"/>
  <c r="F7" i="1" s="1"/>
  <c r="F6" i="1" s="1"/>
  <c r="F5" i="1" s="1"/>
  <c r="E28" i="1"/>
  <c r="E7" i="1" s="1"/>
  <c r="E6" i="1" s="1"/>
  <c r="E5" i="1" s="1"/>
  <c r="D28" i="1"/>
  <c r="D7" i="1" s="1"/>
  <c r="D6" i="1" s="1"/>
  <c r="D5" i="1" s="1"/>
  <c r="C28" i="1"/>
  <c r="C7" i="1" s="1"/>
  <c r="C6" i="1" s="1"/>
  <c r="C5" i="1" s="1"/>
  <c r="B28" i="1"/>
  <c r="B7" i="1" s="1"/>
  <c r="B6" i="1" s="1"/>
  <c r="B5" i="1" s="1"/>
  <c r="M24" i="1"/>
  <c r="M8" i="1" s="1"/>
  <c r="M7" i="1" s="1"/>
  <c r="M6" i="1" s="1"/>
  <c r="M5" i="1" s="1"/>
  <c r="L24" i="1"/>
  <c r="L8" i="1" s="1"/>
  <c r="L7" i="1" s="1"/>
  <c r="L6" i="1" s="1"/>
  <c r="L5" i="1" s="1"/>
  <c r="K24" i="1"/>
  <c r="K8" i="1" s="1"/>
  <c r="K7" i="1" s="1"/>
  <c r="K6" i="1" s="1"/>
  <c r="K5" i="1" s="1"/>
  <c r="J24" i="1"/>
  <c r="J8" i="1" s="1"/>
  <c r="J7" i="1" s="1"/>
  <c r="J6" i="1" s="1"/>
  <c r="J5" i="1" s="1"/>
  <c r="I24" i="1"/>
  <c r="H24" i="1"/>
  <c r="G24" i="1"/>
  <c r="F24" i="1"/>
  <c r="E24" i="1"/>
  <c r="D24" i="1"/>
  <c r="C24" i="1"/>
  <c r="B24" i="1"/>
  <c r="M18" i="1"/>
  <c r="L18" i="1"/>
  <c r="K18" i="1"/>
  <c r="J18" i="1"/>
  <c r="I18" i="1"/>
  <c r="H18" i="1"/>
  <c r="G18" i="1"/>
  <c r="F18" i="1"/>
  <c r="E18" i="1"/>
  <c r="D18" i="1"/>
  <c r="C18" i="1"/>
  <c r="B18" i="1"/>
  <c r="M16" i="1"/>
  <c r="L16" i="1"/>
  <c r="K16" i="1"/>
  <c r="J16" i="1"/>
  <c r="I16" i="1"/>
  <c r="H16" i="1"/>
  <c r="G16" i="1"/>
  <c r="F16" i="1"/>
  <c r="E16" i="1"/>
  <c r="D16" i="1"/>
  <c r="C16" i="1"/>
  <c r="B16" i="1"/>
  <c r="M9" i="1"/>
  <c r="L9" i="1"/>
  <c r="K9" i="1"/>
  <c r="J9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<sst xmlns="http://schemas.openxmlformats.org/spreadsheetml/2006/main" count="140" uniqueCount="114">
  <si>
    <t>GESTION GENERAL MANIZALES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</si>
  <si>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</si>
  <si>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</si>
  <si>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</si>
  <si>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</si>
  <si>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</si>
  <si>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</si>
  <si>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</si>
  <si>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</si>
  <si>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</si>
  <si>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</si>
  <si>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Sistematización matrícula pregrado</t>
  </si>
  <si>
    <t>Bienestar matricula pregrado</t>
  </si>
  <si>
    <t>PROGRAMA SER PILO PAGA</t>
  </si>
  <si>
    <t>PROGRAMACION GENERACION EXCELENCIA</t>
  </si>
  <si>
    <t>SERVICIOS ACADÉMICOS POSGRADO</t>
  </si>
  <si>
    <t>Derechos administrativos de posgrado</t>
  </si>
  <si>
    <t>OTROS INGRESOS</t>
  </si>
  <si>
    <t>Devolución iva</t>
  </si>
  <si>
    <t>Expedición de documentos y certificaciones servidores públicos</t>
  </si>
  <si>
    <t>Reintegros de nómina vigencias anteriores</t>
  </si>
  <si>
    <t>Otros</t>
  </si>
  <si>
    <t>Recuperaciones</t>
  </si>
  <si>
    <t>TRANSFERENCIAS OPERACIONES INTERNAS SIN CONTRAPRESTACIÓN</t>
  </si>
  <si>
    <t>Transferencias o.i. sin contraprestación</t>
  </si>
  <si>
    <t>Transferencias o.i  fondo de investigación - ugi</t>
  </si>
  <si>
    <t>Transferencias o.i. costos indirectos</t>
  </si>
  <si>
    <t>2. Recursos de capital</t>
  </si>
  <si>
    <t>RENDIMIENTOS FINANCIEROS</t>
  </si>
  <si>
    <t>Rendimientos  entidades financieras</t>
  </si>
  <si>
    <t>EXCEDENTES FINANCIEROS</t>
  </si>
  <si>
    <t>Excedentes financieros -  gestión general</t>
  </si>
  <si>
    <t>Excedentes financieros - nivel nacional</t>
  </si>
  <si>
    <t>Excedentes financieros - ugi nivel nacional</t>
  </si>
  <si>
    <t>Excedentes financieros - matrículas pregrado recibidas por anticipado</t>
  </si>
  <si>
    <t>Excedentes financieros - sistematización pregrado recibido por anticipado</t>
  </si>
  <si>
    <t>Excedentes financieros - bienestar pregrado recibido por anticipado</t>
  </si>
  <si>
    <t>EXCEDENTE FINANCIERO - SER PILO PAGA</t>
  </si>
  <si>
    <t>EXCEDENTE FINANCIERO - GENERACION EXCELENCIA</t>
  </si>
  <si>
    <t>RECUPERACIÓN DE CARTERA</t>
  </si>
  <si>
    <t>Recuperación de cartera - préstamo estudiantes</t>
  </si>
  <si>
    <t>DONACIONES EN DINERO</t>
  </si>
  <si>
    <t>Donaciones en dinero</t>
  </si>
  <si>
    <t xml:space="preserve">II. Contribuciones parafiscales </t>
  </si>
  <si>
    <t>ESTAMPILLAS</t>
  </si>
  <si>
    <t>Estampilla pro universidad nacional de colombia</t>
  </si>
  <si>
    <t>Estampilla universidad nacional - sede manizales</t>
  </si>
  <si>
    <t>III. Aportes Nación</t>
  </si>
  <si>
    <t>FINCIONAMIENTO</t>
  </si>
  <si>
    <t>Gastos de personal</t>
  </si>
  <si>
    <t>INVERSIÓN</t>
  </si>
  <si>
    <t>Inversión</t>
  </si>
  <si>
    <t>- FONDOS ESPECIALES</t>
  </si>
  <si>
    <t>Derechos de grado - pregrado</t>
  </si>
  <si>
    <t>Expedición de documentos y certificaciones de pregrado</t>
  </si>
  <si>
    <t>Otros ingresos académicos de pregrado</t>
  </si>
  <si>
    <t>Derechos académicos de posgrado</t>
  </si>
  <si>
    <t>Bienestar matrícula posgrado</t>
  </si>
  <si>
    <t>Expedición de documentos y certificaciones de posgrado</t>
  </si>
  <si>
    <t>Otros ingresos académicos de posgrado</t>
  </si>
  <si>
    <t>Derechos de grado posgrado</t>
  </si>
  <si>
    <t>SERVICIOS DE EXTENSIÓN</t>
  </si>
  <si>
    <t>Consultorías y asesorías</t>
  </si>
  <si>
    <t>Interventorías</t>
  </si>
  <si>
    <t>Otros servicios de extensión</t>
  </si>
  <si>
    <t>Cursos de extensión</t>
  </si>
  <si>
    <t>Cursos de actualización o profundización</t>
  </si>
  <si>
    <t>Diplomados</t>
  </si>
  <si>
    <t>Eventos de extensión</t>
  </si>
  <si>
    <t>Extensión solidaria</t>
  </si>
  <si>
    <t>Servicios de educación ( formulación de programas académicos y estrategias pedagógicas)</t>
  </si>
  <si>
    <t>SERVICIOS BIENESTAR</t>
  </si>
  <si>
    <t>Servicios de salud de bienestar</t>
  </si>
  <si>
    <t>Actividades de recreación y deporte</t>
  </si>
  <si>
    <t>SERVICIOS DE INVESTIGACION</t>
  </si>
  <si>
    <t>Convenios y/o contratos de investigación</t>
  </si>
  <si>
    <t>ARRENDAMIENTOS</t>
  </si>
  <si>
    <t>Arrendamiento de bienes muebles</t>
  </si>
  <si>
    <t>Arrendamiento de bienes inmuebles</t>
  </si>
  <si>
    <t>VENTA DE IMPRESOS Y PUBLICACIONES</t>
  </si>
  <si>
    <t>Venta de libros  y revistas  propios</t>
  </si>
  <si>
    <t>Otros impresos y publicaciones</t>
  </si>
  <si>
    <t>Edición e impresión de publicaciones</t>
  </si>
  <si>
    <t>OPERACIONES INTERNAS POR VENTA DE SERVICIOS</t>
  </si>
  <si>
    <t>O.i. - venta  servicios de extensión</t>
  </si>
  <si>
    <t>O.i. - venta  impresos y publicaciones</t>
  </si>
  <si>
    <t>O.i. - venta  por  otros  servicios</t>
  </si>
  <si>
    <t>O.i. - venta   arrendamientos</t>
  </si>
  <si>
    <t>O.i. - venta  servicios de comunicación</t>
  </si>
  <si>
    <t>TRANSFERENCIAS ENTRE FONDOS SIN CONTRAPRESTACIÓN</t>
  </si>
  <si>
    <t>TRANSFERENCIAS EXTENSION</t>
  </si>
  <si>
    <t>Transferencias o.i. dirección académica</t>
  </si>
  <si>
    <t>Transferencias o.i. excedentes por actividades generadoras de recursos</t>
  </si>
  <si>
    <t>Transferencias o.i. dirección de extensión de la sede</t>
  </si>
  <si>
    <t>Transferencias o.i. dirección nacional de extensión</t>
  </si>
  <si>
    <t>Transferencias o.i. fondo nacional de extensión solidaria</t>
  </si>
  <si>
    <t>Transferencias o.i. fondo de riesgos para la extensión</t>
  </si>
  <si>
    <t>Multas</t>
  </si>
  <si>
    <t>Boletería</t>
  </si>
  <si>
    <t>VENTA DE PRODUCTOS</t>
  </si>
  <si>
    <t>Venta otros productos</t>
  </si>
  <si>
    <t>EXCEDENTES DE SALDOS DE CONVENIOS Y CONTRATOS DE INVESTIGACION</t>
  </si>
  <si>
    <t>Excedentes de saldos de convenios y contratos de investigacion</t>
  </si>
  <si>
    <t>SERVICIOS DE COMUNICACIÓN</t>
  </si>
  <si>
    <t>Servicios de publicidad</t>
  </si>
  <si>
    <t>OPERACIONES INTERNAS POR VENTA DE BIENES</t>
  </si>
  <si>
    <t>O.i  - venta de productos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</si>
  <si>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</si>
  <si>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</si>
  <si>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</si>
  <si>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</si>
  <si>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</si>
  <si>
    <t>Recuperación de cartera</t>
  </si>
  <si>
    <t>DONACIONES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</si>
</sst>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164" fontId="5" fillId="3" borderId="9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0" fontId="6" fillId="4" borderId="8" xfId="0" quotePrefix="1" applyFont="1" applyFill="1" applyBorder="1"/>
    <xf numFmtId="164" fontId="6" fillId="4" borderId="9" xfId="0" applyNumberFormat="1" applyFont="1" applyFill="1" applyBorder="1"/>
    <xf numFmtId="164" fontId="6" fillId="4" borderId="10" xfId="0" applyNumberFormat="1" applyFont="1" applyFill="1" applyBorder="1"/>
    <xf numFmtId="164" fontId="6" fillId="4" borderId="11" xfId="0" applyNumberFormat="1" applyFont="1" applyFill="1" applyBorder="1"/>
    <xf numFmtId="0" fontId="3" fillId="5" borderId="5" xfId="0" applyFont="1" applyFill="1" applyBorder="1"/>
    <xf numFmtId="164" fontId="3" fillId="5" borderId="7" xfId="0" applyNumberFormat="1" applyFont="1" applyFill="1" applyBorder="1"/>
    <xf numFmtId="164" fontId="3" fillId="5" borderId="6" xfId="0" applyNumberFormat="1" applyFont="1" applyFill="1" applyBorder="1"/>
    <xf numFmtId="164" fontId="3" fillId="5" borderId="1" xfId="0" applyNumberFormat="1" applyFont="1" applyFill="1" applyBorder="1"/>
    <xf numFmtId="0" fontId="3" fillId="0" borderId="2" xfId="0" applyFont="1" applyBorder="1"/>
    <xf numFmtId="164" fontId="3" fillId="0" borderId="4" xfId="1" applyNumberFormat="1" applyFont="1" applyBorder="1"/>
    <xf numFmtId="164" fontId="3" fillId="0" borderId="3" xfId="1" applyNumberFormat="1" applyFont="1" applyBorder="1"/>
    <xf numFmtId="0" fontId="0" fillId="0" borderId="12" xfId="0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0" fontId="0" fillId="0" borderId="12" xfId="0" applyBorder="1" applyAlignment="1">
      <alignment horizontal="left" indent="3"/>
    </xf>
    <xf numFmtId="164" fontId="0" fillId="0" borderId="13" xfId="1" applyNumberFormat="1" applyFont="1" applyBorder="1" applyAlignment="1">
      <alignment horizontal="left" indent="3"/>
    </xf>
    <xf numFmtId="164" fontId="0" fillId="0" borderId="14" xfId="1" applyNumberFormat="1" applyFont="1" applyBorder="1" applyAlignment="1">
      <alignment horizontal="left" indent="3"/>
    </xf>
    <xf numFmtId="0" fontId="0" fillId="0" borderId="12" xfId="0" applyBorder="1" applyAlignment="1">
      <alignment horizontal="left"/>
    </xf>
    <xf numFmtId="164" fontId="0" fillId="0" borderId="13" xfId="1" applyNumberFormat="1" applyFont="1" applyBorder="1" applyAlignment="1">
      <alignment horizontal="left"/>
    </xf>
    <xf numFmtId="164" fontId="0" fillId="0" borderId="14" xfId="1" applyNumberFormat="1" applyFont="1" applyBorder="1" applyAlignment="1">
      <alignment horizontal="left"/>
    </xf>
    <xf numFmtId="0" fontId="0" fillId="0" borderId="12" xfId="0" applyBorder="1" applyAlignment="1">
      <alignment horizontal="left" vertical="center" wrapText="1" indent="3"/>
    </xf>
    <xf numFmtId="164" fontId="0" fillId="0" borderId="13" xfId="1" applyNumberFormat="1" applyFont="1" applyBorder="1" applyAlignment="1">
      <alignment horizontal="left" vertical="center" wrapText="1" indent="3"/>
    </xf>
    <xf numFmtId="164" fontId="0" fillId="0" borderId="14" xfId="1" applyNumberFormat="1" applyFont="1" applyBorder="1" applyAlignment="1">
      <alignment horizontal="left" vertical="center" wrapText="1" indent="3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left" vertical="center" indent="3"/>
    </xf>
    <xf numFmtId="164" fontId="0" fillId="0" borderId="13" xfId="1" applyNumberFormat="1" applyFont="1" applyBorder="1" applyAlignment="1">
      <alignment horizontal="left" vertical="center" indent="3"/>
    </xf>
    <xf numFmtId="164" fontId="0" fillId="0" borderId="14" xfId="1" applyNumberFormat="1" applyFont="1" applyBorder="1" applyAlignment="1">
      <alignment horizontal="left" vertical="center" indent="3"/>
    </xf>
    <xf numFmtId="0" fontId="0" fillId="0" borderId="0" xfId="0" applyAlignment="1">
      <alignment vertical="center"/>
    </xf>
    <xf numFmtId="0" fontId="0" fillId="0" borderId="12" xfId="0" applyBorder="1" applyAlignment="1">
      <alignment horizontal="left" vertical="center" wrapText="1"/>
    </xf>
    <xf numFmtId="164" fontId="0" fillId="0" borderId="13" xfId="1" applyNumberFormat="1" applyFont="1" applyBorder="1" applyAlignment="1">
      <alignment horizontal="left" vertical="center" wrapText="1"/>
    </xf>
    <xf numFmtId="164" fontId="0" fillId="0" borderId="14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vertical="center" wrapText="1" indent="3"/>
    </xf>
    <xf numFmtId="0" fontId="0" fillId="0" borderId="0" xfId="0" applyAlignment="1">
      <alignment horizontal="left" vertical="center" indent="3"/>
    </xf>
    <xf numFmtId="164" fontId="3" fillId="5" borderId="8" xfId="0" applyNumberFormat="1" applyFont="1" applyFill="1" applyBorder="1"/>
    <xf numFmtId="164" fontId="3" fillId="5" borderId="9" xfId="1" applyNumberFormat="1" applyFont="1" applyFill="1" applyBorder="1"/>
    <xf numFmtId="164" fontId="3" fillId="5" borderId="10" xfId="1" applyNumberFormat="1" applyFont="1" applyFill="1" applyBorder="1"/>
    <xf numFmtId="0" fontId="0" fillId="0" borderId="2" xfId="0" applyBorder="1" applyAlignment="1">
      <alignment vertical="center" wrapText="1"/>
    </xf>
    <xf numFmtId="164" fontId="0" fillId="0" borderId="4" xfId="1" applyNumberFormat="1" applyFont="1" applyBorder="1" applyAlignment="1">
      <alignment vertical="center" wrapText="1"/>
    </xf>
    <xf numFmtId="164" fontId="0" fillId="0" borderId="3" xfId="1" applyNumberFormat="1" applyFont="1" applyBorder="1" applyAlignment="1">
      <alignment vertical="center" wrapText="1"/>
    </xf>
    <xf numFmtId="0" fontId="0" fillId="0" borderId="5" xfId="0" applyBorder="1" applyAlignment="1">
      <alignment horizontal="left" vertical="center" wrapText="1" indent="3"/>
    </xf>
    <xf numFmtId="164" fontId="0" fillId="0" borderId="7" xfId="1" applyNumberFormat="1" applyFont="1" applyBorder="1" applyAlignment="1">
      <alignment horizontal="left" vertical="center" wrapText="1" indent="3"/>
    </xf>
    <xf numFmtId="164" fontId="0" fillId="0" borderId="6" xfId="1" applyNumberFormat="1" applyFont="1" applyBorder="1" applyAlignment="1">
      <alignment horizontal="left" vertical="center" wrapText="1" indent="3"/>
    </xf>
    <xf numFmtId="0" fontId="0" fillId="0" borderId="2" xfId="0" applyBorder="1"/>
    <xf numFmtId="164" fontId="0" fillId="0" borderId="13" xfId="1" applyNumberFormat="1" applyFont="1" applyBorder="1" applyAlignment="1">
      <alignment vertical="center" wrapText="1"/>
    </xf>
    <xf numFmtId="164" fontId="0" fillId="0" borderId="14" xfId="1" applyNumberFormat="1" applyFont="1" applyBorder="1" applyAlignment="1">
      <alignment vertical="center" wrapText="1"/>
    </xf>
    <xf numFmtId="164" fontId="6" fillId="4" borderId="9" xfId="1" applyNumberFormat="1" applyFont="1" applyFill="1" applyBorder="1"/>
    <xf numFmtId="164" fontId="6" fillId="4" borderId="10" xfId="1" applyNumberFormat="1" applyFont="1" applyFill="1" applyBorder="1"/>
    <xf numFmtId="164" fontId="3" fillId="5" borderId="7" xfId="1" applyNumberFormat="1" applyFont="1" applyFill="1" applyBorder="1"/>
    <xf numFmtId="164" fontId="3" fillId="5" borderId="6" xfId="1" applyNumberFormat="1" applyFont="1" applyFill="1" applyBorder="1"/>
    <xf numFmtId="164" fontId="1" fillId="0" borderId="13" xfId="1" applyNumberFormat="1" applyBorder="1"/>
    <xf numFmtId="164" fontId="1" fillId="0" borderId="14" xfId="1" applyNumberFormat="1" applyBorder="1"/>
    <xf numFmtId="164" fontId="1" fillId="0" borderId="13" xfId="1" applyNumberFormat="1" applyBorder="1" applyAlignment="1">
      <alignment horizontal="left" indent="3"/>
    </xf>
    <xf numFmtId="164" fontId="1" fillId="0" borderId="14" xfId="1" applyNumberFormat="1" applyBorder="1" applyAlignment="1">
      <alignment horizontal="left" indent="3"/>
    </xf>
    <xf numFmtId="164" fontId="1" fillId="0" borderId="13" xfId="1" applyNumberFormat="1" applyBorder="1" applyAlignment="1">
      <alignment horizontal="left"/>
    </xf>
    <xf numFmtId="164" fontId="1" fillId="0" borderId="14" xfId="1" applyNumberFormat="1" applyBorder="1" applyAlignment="1">
      <alignment horizontal="left"/>
    </xf>
    <xf numFmtId="164" fontId="1" fillId="0" borderId="7" xfId="1" applyNumberFormat="1" applyBorder="1" applyAlignment="1">
      <alignment horizontal="left" indent="3"/>
    </xf>
    <xf numFmtId="164" fontId="1" fillId="0" borderId="6" xfId="1" applyNumberFormat="1" applyBorder="1" applyAlignment="1">
      <alignment horizontal="left" indent="3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abSelected="1" zoomScale="80" zoomScaleNormal="80" workbookViewId="0">
      <selection activeCell="C5" sqref="C5"/>
    </sheetView>
  </sheetViews>
  <sheetFormatPr baseColWidth="10" defaultColWidth="0" defaultRowHeight="15" zeroHeight="1" outlineLevelRow="1" x14ac:dyDescent="0.2"/>
  <cols>
    <col min="1" max="1" width="35.6640625" customWidth="1"/>
    <col min="2" max="2" width="23" bestFit="1" customWidth="1"/>
    <col min="3" max="3" width="27.5" bestFit="1" customWidth="1"/>
    <col min="4" max="4" width="24.5" bestFit="1" customWidth="1"/>
    <col min="5" max="5" width="27.5" bestFit="1" customWidth="1"/>
    <col min="6" max="6" width="24.5" bestFit="1" customWidth="1"/>
    <col min="7" max="7" width="27.5" bestFit="1" customWidth="1"/>
    <col min="8" max="8" width="24.5" bestFit="1" customWidth="1"/>
    <col min="9" max="9" width="27.5" bestFit="1" customWidth="1"/>
    <col min="10" max="10" width="24.5" bestFit="1" customWidth="1"/>
    <col min="11" max="11" width="27.5" bestFit="1" customWidth="1"/>
    <col min="12" max="12" width="24.5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3" ht="15" customHeight="1" x14ac:dyDescent="0.2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5" customHeight="1" x14ac:dyDescent="0.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x14ac:dyDescent="0.2">
      <c r="A3" s="72" t="s">
        <v>1</v>
      </c>
      <c r="B3" s="71">
        <v>2016</v>
      </c>
      <c r="C3" s="67"/>
      <c r="D3" s="66">
        <v>2017</v>
      </c>
      <c r="E3" s="67"/>
      <c r="F3" s="66">
        <v>2018</v>
      </c>
      <c r="G3" s="67"/>
      <c r="H3" s="66">
        <v>2019</v>
      </c>
      <c r="I3" s="67"/>
      <c r="J3" s="66">
        <v>2020</v>
      </c>
      <c r="K3" s="67"/>
      <c r="L3" s="66">
        <v>2021</v>
      </c>
      <c r="M3" s="67"/>
    </row>
    <row r="4" spans="1:13" x14ac:dyDescent="0.2">
      <c r="A4" s="73"/>
      <c r="B4" s="1" t="s">
        <v>2</v>
      </c>
      <c r="C4" s="2" t="s">
        <v>3</v>
      </c>
      <c r="D4" s="3" t="s">
        <v>2</v>
      </c>
      <c r="E4" s="2" t="s">
        <v>3</v>
      </c>
      <c r="F4" s="3" t="s">
        <v>2</v>
      </c>
      <c r="G4" s="2" t="s">
        <v>3</v>
      </c>
      <c r="H4" s="3" t="s">
        <v>2</v>
      </c>
      <c r="I4" s="2" t="s">
        <v>3</v>
      </c>
      <c r="J4" s="3" t="s">
        <v>2</v>
      </c>
      <c r="K4" s="2" t="s">
        <v>3</v>
      </c>
      <c r="L4" s="3" t="s">
        <v>2</v>
      </c>
      <c r="M4" s="2" t="s">
        <v>3</v>
      </c>
    </row>
    <row r="5" spans="1:13" ht="18.75" customHeight="1" x14ac:dyDescent="0.25">
      <c r="A5" s="4" t="s">
        <v>4</v>
      </c>
      <c r="B5" s="5">
        <f t="shared" ref="B5:M5" si="0">+B6+B53</f>
        <v>76323546124</v>
      </c>
      <c r="C5" s="6">
        <f t="shared" si="0"/>
        <v>80354821899</v>
      </c>
      <c r="D5" s="7">
        <f t="shared" si="0"/>
        <v>102927797252</v>
      </c>
      <c r="E5" s="6">
        <f t="shared" si="0"/>
        <v>103042925570</v>
      </c>
      <c r="F5" s="5">
        <f t="shared" si="0"/>
        <v>108958327193</v>
      </c>
      <c r="G5" s="6">
        <f t="shared" si="0"/>
        <v>107012715028</v>
      </c>
      <c r="H5" s="5">
        <f t="shared" si="0"/>
        <v>101674624361</v>
      </c>
      <c r="I5" s="6">
        <f t="shared" si="0"/>
        <v>104492117053</v>
      </c>
      <c r="J5" s="5">
        <f t="shared" si="0"/>
        <v>104651940171</v>
      </c>
      <c r="K5" s="6">
        <f t="shared" si="0"/>
        <v>105600317654</v>
      </c>
      <c r="L5" s="5">
        <f t="shared" si="0"/>
        <v>110493487138</v>
      </c>
      <c r="M5" s="6">
        <f t="shared" si="0"/>
        <v>111965579876</v>
      </c>
    </row>
    <row r="6" spans="1:13" ht="15.75" customHeight="1" x14ac:dyDescent="0.2">
      <c r="A6" s="8" t="s">
        <v>5</v>
      </c>
      <c r="B6" s="9">
        <f t="shared" ref="B6:M6" si="1">+B7+B44+B48</f>
        <v>56594312210</v>
      </c>
      <c r="C6" s="10">
        <f t="shared" si="1"/>
        <v>59303764610</v>
      </c>
      <c r="D6" s="11">
        <f t="shared" si="1"/>
        <v>79094596494</v>
      </c>
      <c r="E6" s="10">
        <f t="shared" si="1"/>
        <v>80784200451</v>
      </c>
      <c r="F6" s="9">
        <f t="shared" si="1"/>
        <v>84176712011</v>
      </c>
      <c r="G6" s="10">
        <f t="shared" si="1"/>
        <v>83216286704</v>
      </c>
      <c r="H6" s="9">
        <f t="shared" si="1"/>
        <v>77869204592</v>
      </c>
      <c r="I6" s="10">
        <f t="shared" si="1"/>
        <v>80498840147</v>
      </c>
      <c r="J6" s="9">
        <f t="shared" si="1"/>
        <v>80156519526</v>
      </c>
      <c r="K6" s="10">
        <f t="shared" si="1"/>
        <v>81754800615</v>
      </c>
      <c r="L6" s="9">
        <f t="shared" si="1"/>
        <v>80664183586</v>
      </c>
      <c r="M6" s="10">
        <f t="shared" si="1"/>
        <v>82789678634</v>
      </c>
    </row>
    <row r="7" spans="1:13" x14ac:dyDescent="0.2">
      <c r="A7" s="12" t="s">
        <v>6</v>
      </c>
      <c r="B7" s="13">
        <f t="shared" ref="B7:M7" si="2">+B8+B28</f>
        <v>9605529223</v>
      </c>
      <c r="C7" s="14">
        <f t="shared" si="2"/>
        <v>11861159558</v>
      </c>
      <c r="D7" s="15">
        <f t="shared" si="2"/>
        <v>16071576861</v>
      </c>
      <c r="E7" s="15">
        <f t="shared" si="2"/>
        <v>17004206663</v>
      </c>
      <c r="F7" s="13">
        <f t="shared" si="2"/>
        <v>14787764032</v>
      </c>
      <c r="G7" s="14">
        <f t="shared" si="2"/>
        <v>16279205673</v>
      </c>
      <c r="H7" s="13">
        <f t="shared" si="2"/>
        <v>15666173339</v>
      </c>
      <c r="I7" s="15">
        <f t="shared" si="2"/>
        <v>17155504793</v>
      </c>
      <c r="J7" s="13">
        <f t="shared" si="2"/>
        <v>18734077128</v>
      </c>
      <c r="K7" s="15">
        <f t="shared" si="2"/>
        <v>19088407039</v>
      </c>
      <c r="L7" s="13">
        <f t="shared" si="2"/>
        <v>18321937952</v>
      </c>
      <c r="M7" s="14">
        <f t="shared" si="2"/>
        <v>20261384600</v>
      </c>
    </row>
    <row r="8" spans="1:13" ht="15.75" customHeight="1" x14ac:dyDescent="0.2">
      <c r="A8" s="16" t="s">
        <v>7</v>
      </c>
      <c r="B8" s="17">
        <f t="shared" ref="B8:M8" si="3">+B9+B16+B18+B24</f>
        <v>5525763181</v>
      </c>
      <c r="C8" s="18">
        <f t="shared" si="3"/>
        <v>7577444501</v>
      </c>
      <c r="D8" s="17">
        <f t="shared" si="3"/>
        <v>6193315418</v>
      </c>
      <c r="E8" s="18">
        <f t="shared" si="3"/>
        <v>6879769446</v>
      </c>
      <c r="F8" s="17">
        <f t="shared" si="3"/>
        <v>7662301990</v>
      </c>
      <c r="G8" s="18">
        <f t="shared" si="3"/>
        <v>8926582415</v>
      </c>
      <c r="H8" s="17">
        <f t="shared" si="3"/>
        <v>7798506266</v>
      </c>
      <c r="I8" s="18">
        <f t="shared" si="3"/>
        <v>9272878852</v>
      </c>
      <c r="J8" s="17">
        <f t="shared" si="3"/>
        <v>8769032956</v>
      </c>
      <c r="K8" s="18">
        <f t="shared" si="3"/>
        <v>8882394047</v>
      </c>
      <c r="L8" s="17">
        <f t="shared" si="3"/>
        <v>8157047082</v>
      </c>
      <c r="M8" s="18">
        <f t="shared" si="3"/>
        <v>10341552045</v>
      </c>
    </row>
    <row r="9" spans="1:13" ht="15.75" customHeight="1" x14ac:dyDescent="0.2">
      <c r="A9" s="19" t="s">
        <v>8</v>
      </c>
      <c r="B9" s="20">
        <f t="shared" ref="B9:M9" si="4">SUM(B10:B15)</f>
        <v>3360677381</v>
      </c>
      <c r="C9" s="21">
        <f t="shared" si="4"/>
        <v>5381512339</v>
      </c>
      <c r="D9" s="20">
        <f t="shared" si="4"/>
        <v>3757597916</v>
      </c>
      <c r="E9" s="21">
        <f t="shared" si="4"/>
        <v>4441671285</v>
      </c>
      <c r="F9" s="20">
        <f t="shared" si="4"/>
        <v>5181638310</v>
      </c>
      <c r="G9" s="21">
        <f t="shared" si="4"/>
        <v>5741028906</v>
      </c>
      <c r="H9" s="20">
        <f t="shared" si="4"/>
        <v>5830129281</v>
      </c>
      <c r="I9" s="21">
        <f t="shared" si="4"/>
        <v>6625592570</v>
      </c>
      <c r="J9" s="20">
        <f t="shared" si="4"/>
        <v>6671049366</v>
      </c>
      <c r="K9" s="21">
        <f t="shared" si="4"/>
        <v>7399985533</v>
      </c>
      <c r="L9" s="20">
        <f t="shared" si="4"/>
        <v>6268769644</v>
      </c>
      <c r="M9" s="21">
        <f t="shared" si="4"/>
        <v>7911202323</v>
      </c>
    </row>
    <row r="10" spans="1:13" ht="15.75" customHeight="1" outlineLevel="1" x14ac:dyDescent="0.2">
      <c r="A10" s="22" t="s">
        <v>9</v>
      </c>
      <c r="B10" s="23">
        <v>162334834</v>
      </c>
      <c r="C10" s="24">
        <v>162334834</v>
      </c>
      <c r="D10" s="23">
        <v>171750000</v>
      </c>
      <c r="E10" s="24">
        <v>171750000</v>
      </c>
      <c r="F10" s="23">
        <v>178963500</v>
      </c>
      <c r="G10" s="24">
        <v>178963500</v>
      </c>
      <c r="H10" s="23">
        <v>184869296</v>
      </c>
      <c r="I10" s="24">
        <v>184869296</v>
      </c>
      <c r="J10" s="23">
        <v>184869296</v>
      </c>
      <c r="K10" s="24">
        <v>136239112</v>
      </c>
      <c r="L10" s="23">
        <v>184869296</v>
      </c>
      <c r="M10" s="24">
        <v>103774261</v>
      </c>
    </row>
    <row r="11" spans="1:13" ht="15.75" customHeight="1" outlineLevel="1" x14ac:dyDescent="0.2">
      <c r="A11" s="22" t="s">
        <v>10</v>
      </c>
      <c r="B11" s="23">
        <v>2477863652</v>
      </c>
      <c r="C11" s="24">
        <v>4007210210</v>
      </c>
      <c r="D11" s="23">
        <v>2666924711</v>
      </c>
      <c r="E11" s="24">
        <v>3029568583</v>
      </c>
      <c r="F11" s="23">
        <v>3670254810</v>
      </c>
      <c r="G11" s="24">
        <v>3910465088</v>
      </c>
      <c r="H11" s="23">
        <v>4045750185</v>
      </c>
      <c r="I11" s="24">
        <v>4385968811</v>
      </c>
      <c r="J11" s="23">
        <v>4662518310</v>
      </c>
      <c r="K11" s="24">
        <v>5179577108</v>
      </c>
      <c r="L11" s="23">
        <v>4227559329</v>
      </c>
      <c r="M11" s="24">
        <v>4024930890</v>
      </c>
    </row>
    <row r="12" spans="1:13" ht="15.75" customHeight="1" outlineLevel="1" x14ac:dyDescent="0.2">
      <c r="A12" s="22" t="s">
        <v>11</v>
      </c>
      <c r="B12" s="23">
        <v>325193382</v>
      </c>
      <c r="C12" s="24">
        <v>531440829</v>
      </c>
      <c r="D12" s="23">
        <v>363711939</v>
      </c>
      <c r="E12" s="24">
        <v>394739589</v>
      </c>
      <c r="F12" s="23">
        <v>491402600</v>
      </c>
      <c r="G12" s="24">
        <v>493652214</v>
      </c>
      <c r="H12" s="23">
        <v>557717700</v>
      </c>
      <c r="I12" s="24">
        <v>543338781</v>
      </c>
      <c r="J12" s="23">
        <v>612826700</v>
      </c>
      <c r="K12" s="24">
        <v>612708677</v>
      </c>
      <c r="L12" s="23">
        <v>499079953</v>
      </c>
      <c r="M12" s="24">
        <v>640040002</v>
      </c>
    </row>
    <row r="13" spans="1:13" ht="15.75" customHeight="1" outlineLevel="1" x14ac:dyDescent="0.2">
      <c r="A13" s="22" t="s">
        <v>12</v>
      </c>
      <c r="B13" s="23">
        <v>395285513</v>
      </c>
      <c r="C13" s="24">
        <v>545599807</v>
      </c>
      <c r="D13" s="23">
        <v>420284606</v>
      </c>
      <c r="E13" s="24">
        <v>465089105</v>
      </c>
      <c r="F13" s="23">
        <v>516286800</v>
      </c>
      <c r="G13" s="24">
        <v>613551348</v>
      </c>
      <c r="H13" s="23">
        <v>690567100</v>
      </c>
      <c r="I13" s="24">
        <v>677171727</v>
      </c>
      <c r="J13" s="23">
        <v>518057600</v>
      </c>
      <c r="K13" s="24">
        <v>681504011</v>
      </c>
      <c r="L13" s="23">
        <v>523380370</v>
      </c>
      <c r="M13" s="24">
        <v>735427916</v>
      </c>
    </row>
    <row r="14" spans="1:13" ht="15.75" customHeight="1" outlineLevel="1" x14ac:dyDescent="0.2">
      <c r="A14" s="22" t="s">
        <v>13</v>
      </c>
      <c r="B14" s="23">
        <v>0</v>
      </c>
      <c r="C14" s="24">
        <v>134926659</v>
      </c>
      <c r="D14" s="23">
        <v>134926660</v>
      </c>
      <c r="E14" s="24">
        <v>380524008</v>
      </c>
      <c r="F14" s="23">
        <v>324730600</v>
      </c>
      <c r="G14" s="24">
        <v>544396756</v>
      </c>
      <c r="H14" s="23">
        <v>351225000</v>
      </c>
      <c r="I14" s="24">
        <v>499261461</v>
      </c>
      <c r="J14" s="23">
        <v>630000000</v>
      </c>
      <c r="K14" s="24">
        <v>636267233</v>
      </c>
      <c r="L14" s="23">
        <v>641970000</v>
      </c>
      <c r="M14" s="24">
        <v>398700087</v>
      </c>
    </row>
    <row r="15" spans="1:13" ht="15.75" customHeight="1" outlineLevel="1" x14ac:dyDescent="0.2">
      <c r="A15" s="22" t="s">
        <v>14</v>
      </c>
      <c r="B15" s="23"/>
      <c r="C15" s="24"/>
      <c r="D15" s="23"/>
      <c r="E15" s="24"/>
      <c r="F15" s="23"/>
      <c r="G15" s="24"/>
      <c r="H15" s="23">
        <v>0</v>
      </c>
      <c r="I15" s="24">
        <v>334982494</v>
      </c>
      <c r="J15" s="23">
        <v>62777460</v>
      </c>
      <c r="K15" s="24">
        <v>153689392</v>
      </c>
      <c r="L15" s="23">
        <v>191910696</v>
      </c>
      <c r="M15" s="24">
        <v>2008329167</v>
      </c>
    </row>
    <row r="16" spans="1:13" ht="15.75" customHeight="1" x14ac:dyDescent="0.2">
      <c r="A16" s="25" t="s">
        <v>15</v>
      </c>
      <c r="B16" s="26">
        <f t="shared" ref="B16:M16" si="5">SUM(B17:B17)</f>
        <v>510419640</v>
      </c>
      <c r="C16" s="27">
        <f t="shared" si="5"/>
        <v>486202014</v>
      </c>
      <c r="D16" s="26">
        <f t="shared" si="5"/>
        <v>571135182</v>
      </c>
      <c r="E16" s="27">
        <f t="shared" si="5"/>
        <v>618914323</v>
      </c>
      <c r="F16" s="26">
        <f t="shared" si="5"/>
        <v>704906500</v>
      </c>
      <c r="G16" s="27">
        <f t="shared" si="5"/>
        <v>592016138</v>
      </c>
      <c r="H16" s="26">
        <f t="shared" si="5"/>
        <v>644430700</v>
      </c>
      <c r="I16" s="27">
        <f t="shared" si="5"/>
        <v>631807210</v>
      </c>
      <c r="J16" s="26">
        <f t="shared" si="5"/>
        <v>751023200</v>
      </c>
      <c r="K16" s="27">
        <f t="shared" si="5"/>
        <v>346849416</v>
      </c>
      <c r="L16" s="26">
        <f t="shared" si="5"/>
        <v>628841056</v>
      </c>
      <c r="M16" s="27">
        <f t="shared" si="5"/>
        <v>930557418</v>
      </c>
    </row>
    <row r="17" spans="1:16" ht="15.75" customHeight="1" outlineLevel="1" x14ac:dyDescent="0.2">
      <c r="A17" s="32" t="s">
        <v>16</v>
      </c>
      <c r="B17" s="29">
        <v>510419640</v>
      </c>
      <c r="C17" s="30">
        <v>486202014</v>
      </c>
      <c r="D17" s="29">
        <v>571135182</v>
      </c>
      <c r="E17" s="30">
        <v>618914323</v>
      </c>
      <c r="F17" s="29">
        <v>704906500</v>
      </c>
      <c r="G17" s="30">
        <v>592016138</v>
      </c>
      <c r="H17" s="29">
        <v>644430700</v>
      </c>
      <c r="I17" s="30">
        <v>631807210</v>
      </c>
      <c r="J17" s="29">
        <v>751023200</v>
      </c>
      <c r="K17" s="30">
        <v>346849416</v>
      </c>
      <c r="L17" s="29">
        <v>628841056</v>
      </c>
      <c r="M17" s="30">
        <v>930557418</v>
      </c>
    </row>
    <row r="18" spans="1:16" ht="15.75" customHeight="1" x14ac:dyDescent="0.2">
      <c r="A18" s="25" t="s">
        <v>17</v>
      </c>
      <c r="B18" s="26">
        <f t="shared" ref="B18:M18" si="6">SUM(B19:B23)</f>
        <v>1305800000</v>
      </c>
      <c r="C18" s="27">
        <f t="shared" si="6"/>
        <v>1319251833</v>
      </c>
      <c r="D18" s="26">
        <f t="shared" si="6"/>
        <v>1315700000</v>
      </c>
      <c r="E18" s="27">
        <f t="shared" si="6"/>
        <v>1284508074</v>
      </c>
      <c r="F18" s="26">
        <f t="shared" si="6"/>
        <v>1202000000</v>
      </c>
      <c r="G18" s="27">
        <f t="shared" si="6"/>
        <v>2028680706</v>
      </c>
      <c r="H18" s="26">
        <f t="shared" si="6"/>
        <v>1211000000</v>
      </c>
      <c r="I18" s="27">
        <f t="shared" si="6"/>
        <v>1925266689</v>
      </c>
      <c r="J18" s="26">
        <f t="shared" si="6"/>
        <v>1210793700</v>
      </c>
      <c r="K18" s="27">
        <f t="shared" si="6"/>
        <v>973082014</v>
      </c>
      <c r="L18" s="26">
        <f t="shared" si="6"/>
        <v>1000500000</v>
      </c>
      <c r="M18" s="27">
        <f t="shared" si="6"/>
        <v>1242700500</v>
      </c>
    </row>
    <row r="19" spans="1:16" ht="15.75" customHeight="1" outlineLevel="1" x14ac:dyDescent="0.2">
      <c r="A19" s="22" t="s">
        <v>18</v>
      </c>
      <c r="B19" s="23">
        <v>1300000000</v>
      </c>
      <c r="C19" s="24">
        <v>1120029850</v>
      </c>
      <c r="D19" s="23">
        <v>1290000000</v>
      </c>
      <c r="E19" s="24">
        <v>1279587311</v>
      </c>
      <c r="F19" s="23">
        <v>1200000000</v>
      </c>
      <c r="G19" s="24">
        <v>1976478775</v>
      </c>
      <c r="H19" s="23">
        <v>1200000000</v>
      </c>
      <c r="I19" s="24">
        <v>1759520879</v>
      </c>
      <c r="J19" s="23">
        <v>1209793700</v>
      </c>
      <c r="K19" s="24">
        <v>931861912</v>
      </c>
      <c r="L19" s="23">
        <v>1000000000</v>
      </c>
      <c r="M19" s="24">
        <v>1203736184</v>
      </c>
    </row>
    <row r="20" spans="1:16" ht="15.75" customHeight="1" outlineLevel="1" x14ac:dyDescent="0.2">
      <c r="A20" s="22" t="s">
        <v>19</v>
      </c>
      <c r="B20" s="23">
        <v>1800000</v>
      </c>
      <c r="C20" s="24">
        <v>870200</v>
      </c>
      <c r="D20" s="23">
        <v>700000</v>
      </c>
      <c r="E20" s="24">
        <v>1439400</v>
      </c>
      <c r="F20" s="23">
        <v>1000000</v>
      </c>
      <c r="G20" s="24">
        <v>1535502</v>
      </c>
      <c r="H20" s="23">
        <v>1000000</v>
      </c>
      <c r="I20" s="24">
        <v>1191500</v>
      </c>
      <c r="J20" s="23">
        <v>1000000</v>
      </c>
      <c r="K20" s="24">
        <v>712500</v>
      </c>
      <c r="L20" s="23">
        <v>500000</v>
      </c>
      <c r="M20" s="24">
        <v>1066300</v>
      </c>
    </row>
    <row r="21" spans="1:16" ht="15.75" customHeight="1" outlineLevel="1" x14ac:dyDescent="0.2">
      <c r="A21" s="22" t="s">
        <v>20</v>
      </c>
      <c r="B21" s="23">
        <v>4000000</v>
      </c>
      <c r="C21" s="24">
        <v>15629268</v>
      </c>
      <c r="D21" s="23">
        <v>15000000</v>
      </c>
      <c r="E21" s="24">
        <v>1118808</v>
      </c>
      <c r="F21" s="23">
        <v>1000000</v>
      </c>
      <c r="G21" s="24">
        <v>29958573</v>
      </c>
      <c r="H21" s="23">
        <v>10000000</v>
      </c>
      <c r="I21" s="24">
        <v>0</v>
      </c>
      <c r="J21" s="23">
        <v>0</v>
      </c>
      <c r="K21" s="24">
        <v>762353</v>
      </c>
      <c r="L21" s="23"/>
      <c r="M21" s="24"/>
    </row>
    <row r="22" spans="1:16" ht="15.75" customHeight="1" outlineLevel="1" x14ac:dyDescent="0.2">
      <c r="A22" s="22" t="s">
        <v>21</v>
      </c>
      <c r="B22" s="23">
        <v>0</v>
      </c>
      <c r="C22" s="24">
        <v>182722515</v>
      </c>
      <c r="D22" s="23">
        <v>0</v>
      </c>
      <c r="E22" s="24">
        <v>2362555</v>
      </c>
      <c r="F22" s="23">
        <v>0</v>
      </c>
      <c r="G22" s="24">
        <v>20707856</v>
      </c>
      <c r="H22" s="23">
        <v>0</v>
      </c>
      <c r="I22" s="24">
        <v>132743250</v>
      </c>
      <c r="J22" s="23">
        <v>0</v>
      </c>
      <c r="K22" s="24">
        <v>39745249</v>
      </c>
      <c r="L22" s="23">
        <v>0</v>
      </c>
      <c r="M22" s="24">
        <v>37898016</v>
      </c>
    </row>
    <row r="23" spans="1:16" ht="15.75" customHeight="1" outlineLevel="1" x14ac:dyDescent="0.2">
      <c r="A23" s="22" t="s">
        <v>22</v>
      </c>
      <c r="B23" s="23"/>
      <c r="C23" s="24"/>
      <c r="D23" s="23">
        <v>10000000</v>
      </c>
      <c r="E23" s="24">
        <v>0</v>
      </c>
      <c r="F23" s="23"/>
      <c r="G23" s="24"/>
      <c r="H23" s="23">
        <v>0</v>
      </c>
      <c r="I23" s="24">
        <v>31811060</v>
      </c>
      <c r="J23" s="23"/>
      <c r="K23" s="24"/>
      <c r="L23" s="23"/>
      <c r="M23" s="24"/>
    </row>
    <row r="24" spans="1:16" ht="15.75" customHeight="1" x14ac:dyDescent="0.2">
      <c r="A24" s="25" t="s">
        <v>23</v>
      </c>
      <c r="B24" s="26">
        <f t="shared" ref="B24:M24" si="7">SUM(B25:B27)</f>
        <v>348866160</v>
      </c>
      <c r="C24" s="27">
        <f t="shared" si="7"/>
        <v>390478315</v>
      </c>
      <c r="D24" s="26">
        <f t="shared" si="7"/>
        <v>548882320</v>
      </c>
      <c r="E24" s="27">
        <f t="shared" si="7"/>
        <v>534675764</v>
      </c>
      <c r="F24" s="26">
        <f t="shared" si="7"/>
        <v>573757180</v>
      </c>
      <c r="G24" s="27">
        <f t="shared" si="7"/>
        <v>564856665</v>
      </c>
      <c r="H24" s="26">
        <f t="shared" si="7"/>
        <v>112946285</v>
      </c>
      <c r="I24" s="27">
        <f t="shared" si="7"/>
        <v>90212383</v>
      </c>
      <c r="J24" s="26">
        <f t="shared" si="7"/>
        <v>136166690</v>
      </c>
      <c r="K24" s="27">
        <f t="shared" si="7"/>
        <v>162477084</v>
      </c>
      <c r="L24" s="26">
        <f t="shared" si="7"/>
        <v>258936382</v>
      </c>
      <c r="M24" s="27">
        <f t="shared" si="7"/>
        <v>257091804</v>
      </c>
      <c r="O24" s="31"/>
    </row>
    <row r="25" spans="1:16" ht="15.75" customHeight="1" outlineLevel="1" x14ac:dyDescent="0.2">
      <c r="A25" s="32" t="s">
        <v>24</v>
      </c>
      <c r="B25" s="33">
        <v>0</v>
      </c>
      <c r="C25" s="34">
        <v>0</v>
      </c>
      <c r="D25" s="33">
        <v>0</v>
      </c>
      <c r="E25" s="34">
        <v>4030554</v>
      </c>
      <c r="F25" s="33"/>
      <c r="G25" s="34"/>
      <c r="H25" s="33"/>
      <c r="I25" s="34"/>
      <c r="J25" s="33"/>
      <c r="K25" s="34"/>
      <c r="L25" s="33">
        <v>0</v>
      </c>
      <c r="M25" s="34">
        <v>298577</v>
      </c>
      <c r="O25" s="31"/>
    </row>
    <row r="26" spans="1:16" ht="15.75" customHeight="1" outlineLevel="1" x14ac:dyDescent="0.2">
      <c r="A26" s="32" t="s">
        <v>25</v>
      </c>
      <c r="B26" s="33">
        <v>301031200</v>
      </c>
      <c r="C26" s="34">
        <v>301031200</v>
      </c>
      <c r="D26" s="33">
        <v>495343792</v>
      </c>
      <c r="E26" s="34">
        <v>496586730</v>
      </c>
      <c r="F26" s="33">
        <v>517847780</v>
      </c>
      <c r="G26" s="34">
        <v>517847780</v>
      </c>
      <c r="H26" s="33">
        <v>38249885</v>
      </c>
      <c r="I26" s="34">
        <v>43466358</v>
      </c>
      <c r="J26" s="33">
        <v>109743690</v>
      </c>
      <c r="K26" s="34">
        <v>109743690</v>
      </c>
      <c r="L26" s="33">
        <v>209515000</v>
      </c>
      <c r="M26" s="34">
        <v>211173977</v>
      </c>
      <c r="O26" s="31"/>
    </row>
    <row r="27" spans="1:16" ht="15.75" customHeight="1" outlineLevel="1" x14ac:dyDescent="0.2">
      <c r="A27" s="32" t="s">
        <v>26</v>
      </c>
      <c r="B27" s="33">
        <v>47834960</v>
      </c>
      <c r="C27" s="34">
        <v>89447115</v>
      </c>
      <c r="D27" s="33">
        <v>53538528</v>
      </c>
      <c r="E27" s="34">
        <v>34058480</v>
      </c>
      <c r="F27" s="33">
        <v>55909400</v>
      </c>
      <c r="G27" s="34">
        <v>47008885</v>
      </c>
      <c r="H27" s="33">
        <v>74696400</v>
      </c>
      <c r="I27" s="34">
        <v>46746025</v>
      </c>
      <c r="J27" s="33">
        <v>26423000</v>
      </c>
      <c r="K27" s="34">
        <v>52733394</v>
      </c>
      <c r="L27" s="33">
        <v>49421382</v>
      </c>
      <c r="M27" s="34">
        <v>45619250</v>
      </c>
      <c r="O27" s="31"/>
      <c r="P27" s="35"/>
    </row>
    <row r="28" spans="1:16" ht="15.75" customHeight="1" x14ac:dyDescent="0.2">
      <c r="A28" s="16" t="s">
        <v>27</v>
      </c>
      <c r="B28" s="17">
        <f t="shared" ref="B28:M28" si="8">+B29+B31+B40+B42</f>
        <v>4079766042</v>
      </c>
      <c r="C28" s="18">
        <f t="shared" si="8"/>
        <v>4283715057</v>
      </c>
      <c r="D28" s="17">
        <f t="shared" si="8"/>
        <v>9878261443</v>
      </c>
      <c r="E28" s="18">
        <f t="shared" si="8"/>
        <v>10124437217</v>
      </c>
      <c r="F28" s="17">
        <f t="shared" si="8"/>
        <v>7125462042</v>
      </c>
      <c r="G28" s="18">
        <f t="shared" si="8"/>
        <v>7352623258</v>
      </c>
      <c r="H28" s="17">
        <f t="shared" si="8"/>
        <v>7867667073</v>
      </c>
      <c r="I28" s="18">
        <f t="shared" si="8"/>
        <v>7882625941</v>
      </c>
      <c r="J28" s="17">
        <f t="shared" si="8"/>
        <v>9965044172</v>
      </c>
      <c r="K28" s="18">
        <f t="shared" si="8"/>
        <v>10206012992</v>
      </c>
      <c r="L28" s="17">
        <f t="shared" si="8"/>
        <v>10164890870</v>
      </c>
      <c r="M28" s="18">
        <f t="shared" si="8"/>
        <v>9919832555</v>
      </c>
      <c r="O28" s="31"/>
      <c r="P28" s="35"/>
    </row>
    <row r="29" spans="1:16" ht="15.75" customHeight="1" x14ac:dyDescent="0.2">
      <c r="A29" s="25" t="s">
        <v>28</v>
      </c>
      <c r="B29" s="20">
        <f t="shared" ref="B29:M29" si="9">SUM(B30:B30)</f>
        <v>150000000</v>
      </c>
      <c r="C29" s="21">
        <f t="shared" si="9"/>
        <v>322900373</v>
      </c>
      <c r="D29" s="20">
        <f t="shared" si="9"/>
        <v>373934538</v>
      </c>
      <c r="E29" s="21">
        <f t="shared" si="9"/>
        <v>623933790</v>
      </c>
      <c r="F29" s="20">
        <f t="shared" si="9"/>
        <v>330000000</v>
      </c>
      <c r="G29" s="21">
        <f t="shared" si="9"/>
        <v>569574701</v>
      </c>
      <c r="H29" s="20">
        <f t="shared" si="9"/>
        <v>400000000</v>
      </c>
      <c r="I29" s="21">
        <f t="shared" si="9"/>
        <v>398548081</v>
      </c>
      <c r="J29" s="20">
        <f t="shared" si="9"/>
        <v>300000000</v>
      </c>
      <c r="K29" s="21">
        <f t="shared" si="9"/>
        <v>522521020</v>
      </c>
      <c r="L29" s="20">
        <f t="shared" si="9"/>
        <v>300000000</v>
      </c>
      <c r="M29" s="21">
        <f t="shared" si="9"/>
        <v>226723780</v>
      </c>
      <c r="O29" s="31"/>
      <c r="P29" s="35"/>
    </row>
    <row r="30" spans="1:16" ht="15.75" customHeight="1" outlineLevel="1" x14ac:dyDescent="0.2">
      <c r="A30" s="32" t="s">
        <v>29</v>
      </c>
      <c r="B30" s="29">
        <v>150000000</v>
      </c>
      <c r="C30" s="30">
        <v>322900373</v>
      </c>
      <c r="D30" s="29">
        <v>373934538</v>
      </c>
      <c r="E30" s="30">
        <v>623933790</v>
      </c>
      <c r="F30" s="29">
        <v>330000000</v>
      </c>
      <c r="G30" s="30">
        <v>569574701</v>
      </c>
      <c r="H30" s="29">
        <v>400000000</v>
      </c>
      <c r="I30" s="30">
        <v>398548081</v>
      </c>
      <c r="J30" s="29">
        <v>300000000</v>
      </c>
      <c r="K30" s="30">
        <v>522521020</v>
      </c>
      <c r="L30" s="29">
        <v>300000000</v>
      </c>
      <c r="M30" s="30">
        <v>226723780</v>
      </c>
    </row>
    <row r="31" spans="1:16" ht="15.75" customHeight="1" x14ac:dyDescent="0.2">
      <c r="A31" s="36" t="s">
        <v>30</v>
      </c>
      <c r="B31" s="37">
        <f t="shared" ref="B31:M31" si="10">SUM(B32:B39)</f>
        <v>3889766042</v>
      </c>
      <c r="C31" s="38">
        <f t="shared" si="10"/>
        <v>3889766042</v>
      </c>
      <c r="D31" s="37">
        <f t="shared" si="10"/>
        <v>9456326905</v>
      </c>
      <c r="E31" s="38">
        <f t="shared" si="10"/>
        <v>9439902768</v>
      </c>
      <c r="F31" s="37">
        <f t="shared" si="10"/>
        <v>6755462042</v>
      </c>
      <c r="G31" s="38">
        <f t="shared" si="10"/>
        <v>6755462042</v>
      </c>
      <c r="H31" s="37">
        <f t="shared" si="10"/>
        <v>7440993113</v>
      </c>
      <c r="I31" s="38">
        <f t="shared" si="10"/>
        <v>7416205832</v>
      </c>
      <c r="J31" s="37">
        <f t="shared" si="10"/>
        <v>9644044172</v>
      </c>
      <c r="K31" s="38">
        <f t="shared" si="10"/>
        <v>9644044172</v>
      </c>
      <c r="L31" s="37">
        <f t="shared" si="10"/>
        <v>9844890870</v>
      </c>
      <c r="M31" s="38">
        <f t="shared" si="10"/>
        <v>9659055781</v>
      </c>
    </row>
    <row r="32" spans="1:16" ht="15.75" customHeight="1" outlineLevel="1" x14ac:dyDescent="0.2">
      <c r="A32" s="32" t="s">
        <v>31</v>
      </c>
      <c r="B32" s="29">
        <v>2375605045</v>
      </c>
      <c r="C32" s="30">
        <v>2375605045</v>
      </c>
      <c r="D32" s="29">
        <v>7619911052</v>
      </c>
      <c r="E32" s="30">
        <v>7603486915</v>
      </c>
      <c r="F32" s="29">
        <v>6147558092</v>
      </c>
      <c r="G32" s="30">
        <v>6147558092</v>
      </c>
      <c r="H32" s="29">
        <v>6857530259</v>
      </c>
      <c r="I32" s="30">
        <v>6832742978</v>
      </c>
      <c r="J32" s="29">
        <v>9489044172</v>
      </c>
      <c r="K32" s="30">
        <v>9489044172</v>
      </c>
      <c r="L32" s="29">
        <v>9258667935</v>
      </c>
      <c r="M32" s="30">
        <v>9072832846</v>
      </c>
    </row>
    <row r="33" spans="1:16" ht="15.75" customHeight="1" outlineLevel="1" x14ac:dyDescent="0.2">
      <c r="A33" s="32" t="s">
        <v>32</v>
      </c>
      <c r="B33" s="29">
        <v>80000000</v>
      </c>
      <c r="C33" s="30">
        <v>80000000</v>
      </c>
      <c r="D33" s="29">
        <v>334394170</v>
      </c>
      <c r="E33" s="30">
        <v>334394170</v>
      </c>
      <c r="F33" s="29">
        <v>27001358</v>
      </c>
      <c r="G33" s="30">
        <v>27001358</v>
      </c>
      <c r="H33" s="29"/>
      <c r="I33" s="30"/>
      <c r="J33" s="29"/>
      <c r="K33" s="30"/>
      <c r="L33" s="29"/>
      <c r="M33" s="30"/>
    </row>
    <row r="34" spans="1:16" ht="15.75" customHeight="1" outlineLevel="1" x14ac:dyDescent="0.2">
      <c r="A34" s="32" t="s">
        <v>33</v>
      </c>
      <c r="B34" s="29">
        <v>2666667</v>
      </c>
      <c r="C34" s="30">
        <v>2666667</v>
      </c>
      <c r="D34" s="29"/>
      <c r="E34" s="30"/>
      <c r="F34" s="29"/>
      <c r="G34" s="30"/>
      <c r="H34" s="29">
        <v>83000000</v>
      </c>
      <c r="I34" s="30">
        <v>83000000</v>
      </c>
      <c r="J34" s="29"/>
      <c r="K34" s="30"/>
      <c r="L34" s="29">
        <v>5000000</v>
      </c>
      <c r="M34" s="30">
        <v>5000000</v>
      </c>
    </row>
    <row r="35" spans="1:16" ht="15.75" customHeight="1" outlineLevel="1" x14ac:dyDescent="0.2">
      <c r="A35" s="32" t="s">
        <v>34</v>
      </c>
      <c r="B35" s="29">
        <v>1116077836</v>
      </c>
      <c r="C35" s="30">
        <v>1116077836</v>
      </c>
      <c r="D35" s="29">
        <v>1074181314</v>
      </c>
      <c r="E35" s="30">
        <v>1074181314</v>
      </c>
      <c r="F35" s="29">
        <v>219214643</v>
      </c>
      <c r="G35" s="30">
        <v>219214643</v>
      </c>
      <c r="H35" s="29"/>
      <c r="I35" s="30"/>
      <c r="J35" s="29"/>
      <c r="K35" s="30"/>
      <c r="L35" s="29"/>
      <c r="M35" s="30"/>
    </row>
    <row r="36" spans="1:16" ht="15.75" customHeight="1" outlineLevel="1" x14ac:dyDescent="0.2">
      <c r="A36" s="32" t="s">
        <v>35</v>
      </c>
      <c r="B36" s="29">
        <v>132368613</v>
      </c>
      <c r="C36" s="30">
        <v>132368613</v>
      </c>
      <c r="D36" s="29">
        <v>122404064</v>
      </c>
      <c r="E36" s="30">
        <v>122404064</v>
      </c>
      <c r="F36" s="29">
        <v>25453964</v>
      </c>
      <c r="G36" s="30">
        <v>25453964</v>
      </c>
      <c r="H36" s="29"/>
      <c r="I36" s="30"/>
      <c r="J36" s="29"/>
      <c r="K36" s="30"/>
      <c r="L36" s="29"/>
      <c r="M36" s="30"/>
    </row>
    <row r="37" spans="1:16" ht="15.75" customHeight="1" outlineLevel="1" x14ac:dyDescent="0.2">
      <c r="A37" s="32" t="s">
        <v>36</v>
      </c>
      <c r="B37" s="29">
        <v>183047881</v>
      </c>
      <c r="C37" s="30">
        <v>183047881</v>
      </c>
      <c r="D37" s="29">
        <v>170509645</v>
      </c>
      <c r="E37" s="30">
        <v>170509645</v>
      </c>
      <c r="F37" s="29">
        <v>39215958</v>
      </c>
      <c r="G37" s="30">
        <v>39215958</v>
      </c>
      <c r="H37" s="29"/>
      <c r="I37" s="30"/>
      <c r="J37" s="29"/>
      <c r="K37" s="30"/>
      <c r="L37" s="29"/>
      <c r="M37" s="30"/>
    </row>
    <row r="38" spans="1:16" ht="15.75" customHeight="1" outlineLevel="1" x14ac:dyDescent="0.2">
      <c r="A38" s="32" t="s">
        <v>37</v>
      </c>
      <c r="B38" s="29"/>
      <c r="C38" s="30"/>
      <c r="D38" s="29">
        <v>134926660</v>
      </c>
      <c r="E38" s="30">
        <v>134926660</v>
      </c>
      <c r="F38" s="29">
        <v>297018027</v>
      </c>
      <c r="G38" s="30">
        <v>297018027</v>
      </c>
      <c r="H38" s="29">
        <v>500462854</v>
      </c>
      <c r="I38" s="30">
        <v>500462854</v>
      </c>
      <c r="J38" s="29">
        <v>155000000</v>
      </c>
      <c r="K38" s="30">
        <v>155000000</v>
      </c>
      <c r="L38" s="29">
        <v>518445475</v>
      </c>
      <c r="M38" s="30">
        <v>518445475</v>
      </c>
    </row>
    <row r="39" spans="1:16" ht="15.75" customHeight="1" outlineLevel="1" x14ac:dyDescent="0.2">
      <c r="A39" s="32" t="s">
        <v>38</v>
      </c>
      <c r="B39" s="29"/>
      <c r="C39" s="30"/>
      <c r="D39" s="29"/>
      <c r="E39" s="30"/>
      <c r="F39" s="29"/>
      <c r="G39" s="30"/>
      <c r="H39" s="29"/>
      <c r="I39" s="30"/>
      <c r="J39" s="29"/>
      <c r="K39" s="30"/>
      <c r="L39" s="29">
        <v>62777460</v>
      </c>
      <c r="M39" s="30">
        <v>62777460</v>
      </c>
    </row>
    <row r="40" spans="1:16" ht="15.75" customHeight="1" x14ac:dyDescent="0.2">
      <c r="A40" s="25" t="s">
        <v>39</v>
      </c>
      <c r="B40" s="20">
        <f t="shared" ref="B40:M40" si="11">SUM(B41:B41)</f>
        <v>40000000</v>
      </c>
      <c r="C40" s="21">
        <f t="shared" si="11"/>
        <v>71048642</v>
      </c>
      <c r="D40" s="20">
        <f t="shared" si="11"/>
        <v>48000000</v>
      </c>
      <c r="E40" s="21">
        <f t="shared" si="11"/>
        <v>59600659</v>
      </c>
      <c r="F40" s="20">
        <f t="shared" si="11"/>
        <v>40000000</v>
      </c>
      <c r="G40" s="21">
        <f t="shared" si="11"/>
        <v>27486515</v>
      </c>
      <c r="H40" s="20">
        <f t="shared" si="11"/>
        <v>26273960</v>
      </c>
      <c r="I40" s="21">
        <f t="shared" si="11"/>
        <v>67472028</v>
      </c>
      <c r="J40" s="20">
        <f t="shared" si="11"/>
        <v>20000000</v>
      </c>
      <c r="K40" s="21">
        <f t="shared" si="11"/>
        <v>39447800</v>
      </c>
      <c r="L40" s="20">
        <f t="shared" si="11"/>
        <v>20000000</v>
      </c>
      <c r="M40" s="21">
        <f t="shared" si="11"/>
        <v>34052994</v>
      </c>
    </row>
    <row r="41" spans="1:16" s="39" customFormat="1" ht="15.75" customHeight="1" outlineLevel="1" x14ac:dyDescent="0.2">
      <c r="A41" s="32" t="s">
        <v>40</v>
      </c>
      <c r="B41" s="23">
        <v>40000000</v>
      </c>
      <c r="C41" s="24">
        <v>71048642</v>
      </c>
      <c r="D41" s="23">
        <v>48000000</v>
      </c>
      <c r="E41" s="24">
        <v>59600659</v>
      </c>
      <c r="F41" s="23">
        <v>40000000</v>
      </c>
      <c r="G41" s="24">
        <v>27486515</v>
      </c>
      <c r="H41" s="23">
        <v>26273960</v>
      </c>
      <c r="I41" s="24">
        <v>67472028</v>
      </c>
      <c r="J41" s="23">
        <v>20000000</v>
      </c>
      <c r="K41" s="24">
        <v>39447800</v>
      </c>
      <c r="L41" s="23">
        <v>20000000</v>
      </c>
      <c r="M41" s="24">
        <v>34052994</v>
      </c>
    </row>
    <row r="42" spans="1:16" ht="15.75" customHeight="1" x14ac:dyDescent="0.2">
      <c r="A42" s="36" t="s">
        <v>41</v>
      </c>
      <c r="B42" s="37"/>
      <c r="C42" s="38"/>
      <c r="D42" s="37">
        <f t="shared" ref="D42:K42" si="12">SUM(D43:D43)</f>
        <v>0</v>
      </c>
      <c r="E42" s="38">
        <f t="shared" si="12"/>
        <v>1000000</v>
      </c>
      <c r="F42" s="37">
        <f t="shared" si="12"/>
        <v>0</v>
      </c>
      <c r="G42" s="38">
        <f t="shared" si="12"/>
        <v>100000</v>
      </c>
      <c r="H42" s="37">
        <f t="shared" si="12"/>
        <v>400000</v>
      </c>
      <c r="I42" s="38">
        <f t="shared" si="12"/>
        <v>400000</v>
      </c>
      <c r="J42" s="37">
        <f t="shared" si="12"/>
        <v>1000000</v>
      </c>
      <c r="K42" s="38">
        <f t="shared" si="12"/>
        <v>0</v>
      </c>
      <c r="L42" s="37"/>
      <c r="M42" s="38"/>
      <c r="O42" s="31"/>
      <c r="P42" s="35"/>
    </row>
    <row r="43" spans="1:16" s="39" customFormat="1" ht="15.75" customHeight="1" outlineLevel="1" x14ac:dyDescent="0.2">
      <c r="A43" s="28" t="s">
        <v>42</v>
      </c>
      <c r="B43" s="29"/>
      <c r="C43" s="30"/>
      <c r="D43" s="29">
        <v>0</v>
      </c>
      <c r="E43" s="30">
        <v>1000000</v>
      </c>
      <c r="F43" s="29">
        <v>0</v>
      </c>
      <c r="G43" s="30">
        <v>100000</v>
      </c>
      <c r="H43" s="29">
        <v>400000</v>
      </c>
      <c r="I43" s="30">
        <v>400000</v>
      </c>
      <c r="J43" s="29">
        <v>1000000</v>
      </c>
      <c r="K43" s="30">
        <v>0</v>
      </c>
      <c r="L43" s="29"/>
      <c r="M43" s="30"/>
      <c r="O43" s="40"/>
      <c r="P43" s="41"/>
    </row>
    <row r="44" spans="1:16" ht="15.75" customHeight="1" x14ac:dyDescent="0.2">
      <c r="A44" s="42" t="s">
        <v>43</v>
      </c>
      <c r="B44" s="43">
        <f t="shared" ref="B44:M44" si="13">+B45</f>
        <v>2800000000</v>
      </c>
      <c r="C44" s="44">
        <f t="shared" si="13"/>
        <v>3253822065</v>
      </c>
      <c r="D44" s="43">
        <f t="shared" si="13"/>
        <v>11610745768</v>
      </c>
      <c r="E44" s="44">
        <f t="shared" si="13"/>
        <v>12367719923</v>
      </c>
      <c r="F44" s="43">
        <f t="shared" si="13"/>
        <v>16324802255</v>
      </c>
      <c r="G44" s="44">
        <f t="shared" si="13"/>
        <v>16672935307</v>
      </c>
      <c r="H44" s="43">
        <f t="shared" si="13"/>
        <v>8727646388</v>
      </c>
      <c r="I44" s="44">
        <f t="shared" si="13"/>
        <v>9867950489</v>
      </c>
      <c r="J44" s="43">
        <f t="shared" si="13"/>
        <v>3666666667</v>
      </c>
      <c r="K44" s="44">
        <f t="shared" si="13"/>
        <v>4910617845</v>
      </c>
      <c r="L44" s="43">
        <f t="shared" si="13"/>
        <v>2905686945</v>
      </c>
      <c r="M44" s="44">
        <f t="shared" si="13"/>
        <v>3357090539</v>
      </c>
      <c r="O44" s="31"/>
      <c r="P44" s="35"/>
    </row>
    <row r="45" spans="1:16" ht="15.75" customHeight="1" x14ac:dyDescent="0.2">
      <c r="A45" s="45" t="s">
        <v>44</v>
      </c>
      <c r="B45" s="46">
        <f t="shared" ref="B45:M45" si="14">SUM(B46:B47)</f>
        <v>2800000000</v>
      </c>
      <c r="C45" s="47">
        <f t="shared" si="14"/>
        <v>3253822065</v>
      </c>
      <c r="D45" s="46">
        <f t="shared" si="14"/>
        <v>11610745768</v>
      </c>
      <c r="E45" s="47">
        <f t="shared" si="14"/>
        <v>12367719923</v>
      </c>
      <c r="F45" s="46">
        <f t="shared" si="14"/>
        <v>16324802255</v>
      </c>
      <c r="G45" s="47">
        <f t="shared" si="14"/>
        <v>16672935307</v>
      </c>
      <c r="H45" s="46">
        <f t="shared" si="14"/>
        <v>8727646388</v>
      </c>
      <c r="I45" s="47">
        <f t="shared" si="14"/>
        <v>9867950489</v>
      </c>
      <c r="J45" s="46">
        <f t="shared" si="14"/>
        <v>3666666667</v>
      </c>
      <c r="K45" s="47">
        <f t="shared" si="14"/>
        <v>4910617845</v>
      </c>
      <c r="L45" s="46">
        <f t="shared" si="14"/>
        <v>2905686945</v>
      </c>
      <c r="M45" s="47">
        <f t="shared" si="14"/>
        <v>3357090539</v>
      </c>
      <c r="O45" s="31"/>
      <c r="P45" s="35"/>
    </row>
    <row r="46" spans="1:16" ht="15.75" customHeight="1" outlineLevel="1" x14ac:dyDescent="0.2">
      <c r="A46" s="28" t="s">
        <v>45</v>
      </c>
      <c r="B46" s="29">
        <v>400000000</v>
      </c>
      <c r="C46" s="30">
        <v>400000000</v>
      </c>
      <c r="D46" s="29">
        <v>8400000000</v>
      </c>
      <c r="E46" s="30">
        <v>8400000000</v>
      </c>
      <c r="F46" s="29">
        <v>13324802255</v>
      </c>
      <c r="G46" s="30">
        <v>13324802255</v>
      </c>
      <c r="H46" s="29">
        <v>6227646388</v>
      </c>
      <c r="I46" s="30">
        <v>6227646388</v>
      </c>
      <c r="J46" s="29">
        <v>2366666667</v>
      </c>
      <c r="K46" s="30">
        <v>2366666667</v>
      </c>
      <c r="L46" s="29">
        <v>405686945</v>
      </c>
      <c r="M46" s="30">
        <v>405686945</v>
      </c>
      <c r="O46" s="31"/>
      <c r="P46" s="35"/>
    </row>
    <row r="47" spans="1:16" ht="15.75" customHeight="1" outlineLevel="1" x14ac:dyDescent="0.2">
      <c r="A47" s="48" t="s">
        <v>46</v>
      </c>
      <c r="B47" s="49">
        <v>2400000000</v>
      </c>
      <c r="C47" s="50">
        <v>2853822065</v>
      </c>
      <c r="D47" s="49">
        <v>3210745768</v>
      </c>
      <c r="E47" s="50">
        <v>3967719923</v>
      </c>
      <c r="F47" s="49">
        <v>3000000000</v>
      </c>
      <c r="G47" s="50">
        <v>3348133052</v>
      </c>
      <c r="H47" s="49">
        <v>2500000000</v>
      </c>
      <c r="I47" s="50">
        <v>3640304101</v>
      </c>
      <c r="J47" s="49">
        <v>1300000000</v>
      </c>
      <c r="K47" s="50">
        <v>2543951178</v>
      </c>
      <c r="L47" s="49">
        <v>2500000000</v>
      </c>
      <c r="M47" s="50">
        <v>2951403594</v>
      </c>
      <c r="O47" s="31"/>
      <c r="P47" s="35"/>
    </row>
    <row r="48" spans="1:16" ht="15.75" customHeight="1" x14ac:dyDescent="0.2">
      <c r="A48" s="42" t="s">
        <v>47</v>
      </c>
      <c r="B48" s="43">
        <f t="shared" ref="B48:M48" si="15">+B49+B51</f>
        <v>44188782987</v>
      </c>
      <c r="C48" s="44">
        <f t="shared" si="15"/>
        <v>44188782987</v>
      </c>
      <c r="D48" s="43">
        <f t="shared" si="15"/>
        <v>51412273865</v>
      </c>
      <c r="E48" s="44">
        <f t="shared" si="15"/>
        <v>51412273865</v>
      </c>
      <c r="F48" s="43">
        <f t="shared" si="15"/>
        <v>53064145724</v>
      </c>
      <c r="G48" s="44">
        <f t="shared" si="15"/>
        <v>50264145724</v>
      </c>
      <c r="H48" s="43">
        <f t="shared" si="15"/>
        <v>53475384865</v>
      </c>
      <c r="I48" s="44">
        <f t="shared" si="15"/>
        <v>53475384865</v>
      </c>
      <c r="J48" s="43">
        <f t="shared" si="15"/>
        <v>57755775731</v>
      </c>
      <c r="K48" s="44">
        <f t="shared" si="15"/>
        <v>57755775731</v>
      </c>
      <c r="L48" s="43">
        <f t="shared" si="15"/>
        <v>59436558689</v>
      </c>
      <c r="M48" s="44">
        <f t="shared" si="15"/>
        <v>59171203495</v>
      </c>
      <c r="O48" s="31"/>
      <c r="P48" s="35"/>
    </row>
    <row r="49" spans="1:16" ht="15.75" customHeight="1" x14ac:dyDescent="0.2">
      <c r="A49" s="51" t="s">
        <v>48</v>
      </c>
      <c r="B49" s="52">
        <f t="shared" ref="B49:M49" si="16">SUM(B50:B50)</f>
        <v>40568267556</v>
      </c>
      <c r="C49" s="53">
        <f t="shared" si="16"/>
        <v>40568267556</v>
      </c>
      <c r="D49" s="52">
        <f t="shared" si="16"/>
        <v>45853468738</v>
      </c>
      <c r="E49" s="53">
        <f t="shared" si="16"/>
        <v>45853468738</v>
      </c>
      <c r="F49" s="52">
        <f t="shared" si="16"/>
        <v>48711182291</v>
      </c>
      <c r="G49" s="53">
        <f t="shared" si="16"/>
        <v>48711182291</v>
      </c>
      <c r="H49" s="52">
        <f t="shared" si="16"/>
        <v>52574052981</v>
      </c>
      <c r="I49" s="53">
        <f t="shared" si="16"/>
        <v>52574052981</v>
      </c>
      <c r="J49" s="52">
        <f t="shared" si="16"/>
        <v>54640267113</v>
      </c>
      <c r="K49" s="53">
        <f t="shared" si="16"/>
        <v>54640267113</v>
      </c>
      <c r="L49" s="52">
        <f t="shared" si="16"/>
        <v>56891849305</v>
      </c>
      <c r="M49" s="53">
        <f t="shared" si="16"/>
        <v>56626494107</v>
      </c>
      <c r="O49" s="31"/>
      <c r="P49" s="35"/>
    </row>
    <row r="50" spans="1:16" ht="15.75" customHeight="1" outlineLevel="1" x14ac:dyDescent="0.2">
      <c r="A50" s="22" t="s">
        <v>49</v>
      </c>
      <c r="B50" s="29">
        <v>40568267556</v>
      </c>
      <c r="C50" s="30">
        <v>40568267556</v>
      </c>
      <c r="D50" s="29">
        <v>45853468738</v>
      </c>
      <c r="E50" s="30">
        <v>45853468738</v>
      </c>
      <c r="F50" s="29">
        <v>48711182291</v>
      </c>
      <c r="G50" s="30">
        <v>48711182291</v>
      </c>
      <c r="H50" s="29">
        <v>52574052981</v>
      </c>
      <c r="I50" s="30">
        <v>52574052981</v>
      </c>
      <c r="J50" s="29">
        <v>54640267113</v>
      </c>
      <c r="K50" s="30">
        <v>54640267113</v>
      </c>
      <c r="L50" s="29">
        <v>56891849305</v>
      </c>
      <c r="M50" s="30">
        <v>56626494107</v>
      </c>
    </row>
    <row r="51" spans="1:16" ht="15.75" customHeight="1" x14ac:dyDescent="0.2">
      <c r="A51" s="19" t="s">
        <v>50</v>
      </c>
      <c r="B51" s="52">
        <f t="shared" ref="B51:M51" si="17">SUM(B52:B52)</f>
        <v>3620515431</v>
      </c>
      <c r="C51" s="53">
        <f t="shared" si="17"/>
        <v>3620515431</v>
      </c>
      <c r="D51" s="52">
        <f t="shared" si="17"/>
        <v>5558805127</v>
      </c>
      <c r="E51" s="53">
        <f t="shared" si="17"/>
        <v>5558805127</v>
      </c>
      <c r="F51" s="52">
        <f t="shared" si="17"/>
        <v>4352963433</v>
      </c>
      <c r="G51" s="53">
        <f t="shared" si="17"/>
        <v>1552963433</v>
      </c>
      <c r="H51" s="52">
        <f t="shared" si="17"/>
        <v>901331884</v>
      </c>
      <c r="I51" s="53">
        <f t="shared" si="17"/>
        <v>901331884</v>
      </c>
      <c r="J51" s="52">
        <f t="shared" si="17"/>
        <v>3115508618</v>
      </c>
      <c r="K51" s="53">
        <f t="shared" si="17"/>
        <v>3115508618</v>
      </c>
      <c r="L51" s="52">
        <f t="shared" si="17"/>
        <v>2544709384</v>
      </c>
      <c r="M51" s="53">
        <f t="shared" si="17"/>
        <v>2544709388</v>
      </c>
    </row>
    <row r="52" spans="1:16" ht="15.75" customHeight="1" outlineLevel="1" x14ac:dyDescent="0.2">
      <c r="A52" s="28" t="s">
        <v>51</v>
      </c>
      <c r="B52" s="29">
        <v>3620515431</v>
      </c>
      <c r="C52" s="30">
        <v>3620515431</v>
      </c>
      <c r="D52" s="29">
        <v>5558805127</v>
      </c>
      <c r="E52" s="30">
        <v>5558805127</v>
      </c>
      <c r="F52" s="29">
        <v>4352963433</v>
      </c>
      <c r="G52" s="30">
        <v>1552963433</v>
      </c>
      <c r="H52" s="29">
        <v>901331884</v>
      </c>
      <c r="I52" s="30">
        <v>901331884</v>
      </c>
      <c r="J52" s="29">
        <v>3115508618</v>
      </c>
      <c r="K52" s="30">
        <v>3115508618</v>
      </c>
      <c r="L52" s="29">
        <v>2544709384</v>
      </c>
      <c r="M52" s="30">
        <v>2544709388</v>
      </c>
    </row>
    <row r="53" spans="1:16" ht="15.75" customHeight="1" x14ac:dyDescent="0.2">
      <c r="A53" s="8" t="s">
        <v>52</v>
      </c>
      <c r="B53" s="54">
        <f t="shared" ref="B53:M53" si="18">+B54</f>
        <v>19729233914</v>
      </c>
      <c r="C53" s="55">
        <f t="shared" si="18"/>
        <v>21051057289</v>
      </c>
      <c r="D53" s="54">
        <f t="shared" si="18"/>
        <v>23833200758</v>
      </c>
      <c r="E53" s="55">
        <f t="shared" si="18"/>
        <v>22258725119</v>
      </c>
      <c r="F53" s="54">
        <f t="shared" si="18"/>
        <v>24781615182</v>
      </c>
      <c r="G53" s="55">
        <f t="shared" si="18"/>
        <v>23796428324</v>
      </c>
      <c r="H53" s="54">
        <f t="shared" si="18"/>
        <v>23805419769</v>
      </c>
      <c r="I53" s="55">
        <f t="shared" si="18"/>
        <v>23993276906</v>
      </c>
      <c r="J53" s="54">
        <f t="shared" si="18"/>
        <v>24495420645</v>
      </c>
      <c r="K53" s="55">
        <f t="shared" si="18"/>
        <v>23845517039</v>
      </c>
      <c r="L53" s="54">
        <f t="shared" si="18"/>
        <v>29829303552</v>
      </c>
      <c r="M53" s="55">
        <f t="shared" si="18"/>
        <v>29175901242</v>
      </c>
    </row>
    <row r="54" spans="1:16" ht="15.75" customHeight="1" x14ac:dyDescent="0.2">
      <c r="A54" s="12" t="s">
        <v>6</v>
      </c>
      <c r="B54" s="56">
        <f t="shared" ref="B54:M54" si="19">+B55+B119</f>
        <v>19729233914</v>
      </c>
      <c r="C54" s="57">
        <f t="shared" si="19"/>
        <v>21051057289</v>
      </c>
      <c r="D54" s="56">
        <f t="shared" si="19"/>
        <v>23833200758</v>
      </c>
      <c r="E54" s="57">
        <f t="shared" si="19"/>
        <v>22258725119</v>
      </c>
      <c r="F54" s="56">
        <f t="shared" si="19"/>
        <v>24781615182</v>
      </c>
      <c r="G54" s="57">
        <f t="shared" si="19"/>
        <v>23796428324</v>
      </c>
      <c r="H54" s="56">
        <f t="shared" si="19"/>
        <v>23805419769</v>
      </c>
      <c r="I54" s="57">
        <f t="shared" si="19"/>
        <v>23993276906</v>
      </c>
      <c r="J54" s="56">
        <f t="shared" si="19"/>
        <v>24495420645</v>
      </c>
      <c r="K54" s="57">
        <f t="shared" si="19"/>
        <v>23845517039</v>
      </c>
      <c r="L54" s="56">
        <f t="shared" si="19"/>
        <v>29829303552</v>
      </c>
      <c r="M54" s="57">
        <f t="shared" si="19"/>
        <v>29175901242</v>
      </c>
    </row>
    <row r="55" spans="1:16" ht="15.75" customHeight="1" x14ac:dyDescent="0.2">
      <c r="A55" s="16" t="s">
        <v>7</v>
      </c>
      <c r="B55" s="17">
        <f t="shared" ref="B55:M55" si="20">+B56+B60+B67+B77+B80+B82+B85+B89+B95+B97+B105+B111+B113+B115+B117</f>
        <v>13262700249</v>
      </c>
      <c r="C55" s="18">
        <f t="shared" si="20"/>
        <v>14562479425</v>
      </c>
      <c r="D55" s="17">
        <f t="shared" si="20"/>
        <v>18841535986</v>
      </c>
      <c r="E55" s="18">
        <f t="shared" si="20"/>
        <v>17184413658</v>
      </c>
      <c r="F55" s="17">
        <f t="shared" si="20"/>
        <v>19027812600</v>
      </c>
      <c r="G55" s="18">
        <f t="shared" si="20"/>
        <v>17876655144</v>
      </c>
      <c r="H55" s="17">
        <f t="shared" si="20"/>
        <v>17258716520</v>
      </c>
      <c r="I55" s="18">
        <f t="shared" si="20"/>
        <v>17375151213</v>
      </c>
      <c r="J55" s="17">
        <f t="shared" si="20"/>
        <v>17638013278</v>
      </c>
      <c r="K55" s="18">
        <f t="shared" si="20"/>
        <v>16881803010</v>
      </c>
      <c r="L55" s="17">
        <f t="shared" si="20"/>
        <v>19158000801</v>
      </c>
      <c r="M55" s="18">
        <f t="shared" si="20"/>
        <v>20462022564</v>
      </c>
    </row>
    <row r="56" spans="1:16" ht="15.75" customHeight="1" x14ac:dyDescent="0.2">
      <c r="A56" s="19" t="s">
        <v>8</v>
      </c>
      <c r="B56" s="20">
        <f t="shared" ref="B56:M56" si="21">SUM(B57:B59)</f>
        <v>64191167</v>
      </c>
      <c r="C56" s="21">
        <f t="shared" si="21"/>
        <v>67860851</v>
      </c>
      <c r="D56" s="20">
        <f t="shared" si="21"/>
        <v>134582000</v>
      </c>
      <c r="E56" s="21">
        <f t="shared" si="21"/>
        <v>137120410</v>
      </c>
      <c r="F56" s="20">
        <f t="shared" si="21"/>
        <v>180015000</v>
      </c>
      <c r="G56" s="21">
        <f t="shared" si="21"/>
        <v>135324543</v>
      </c>
      <c r="H56" s="20">
        <f t="shared" si="21"/>
        <v>32602600</v>
      </c>
      <c r="I56" s="21">
        <f t="shared" si="21"/>
        <v>33277758</v>
      </c>
      <c r="J56" s="20">
        <f t="shared" si="21"/>
        <v>20579000</v>
      </c>
      <c r="K56" s="21">
        <f t="shared" si="21"/>
        <v>16455900</v>
      </c>
      <c r="L56" s="20">
        <f t="shared" si="21"/>
        <v>43446666</v>
      </c>
      <c r="M56" s="21">
        <f t="shared" si="21"/>
        <v>50732747</v>
      </c>
    </row>
    <row r="57" spans="1:16" ht="15.75" customHeight="1" outlineLevel="1" x14ac:dyDescent="0.2">
      <c r="A57" s="22" t="s">
        <v>53</v>
      </c>
      <c r="B57" s="23">
        <v>38491051</v>
      </c>
      <c r="C57" s="24">
        <v>38491051</v>
      </c>
      <c r="D57" s="23">
        <v>98141000</v>
      </c>
      <c r="E57" s="24">
        <v>98141000</v>
      </c>
      <c r="F57" s="23">
        <v>133706000</v>
      </c>
      <c r="G57" s="24">
        <v>99736000</v>
      </c>
      <c r="H57" s="23"/>
      <c r="I57" s="24"/>
      <c r="J57" s="23"/>
      <c r="K57" s="24"/>
      <c r="L57" s="23">
        <v>28446666</v>
      </c>
      <c r="M57" s="24">
        <v>28446666</v>
      </c>
    </row>
    <row r="58" spans="1:16" ht="15.75" customHeight="1" outlineLevel="1" x14ac:dyDescent="0.2">
      <c r="A58" s="22" t="s">
        <v>54</v>
      </c>
      <c r="B58" s="23">
        <v>25700116</v>
      </c>
      <c r="C58" s="24">
        <v>29346800</v>
      </c>
      <c r="D58" s="23">
        <v>17256000</v>
      </c>
      <c r="E58" s="24">
        <v>38954810</v>
      </c>
      <c r="F58" s="23">
        <v>46309000</v>
      </c>
      <c r="G58" s="24">
        <v>35588543</v>
      </c>
      <c r="H58" s="23">
        <v>32602600</v>
      </c>
      <c r="I58" s="24">
        <v>33277758</v>
      </c>
      <c r="J58" s="23">
        <v>20579000</v>
      </c>
      <c r="K58" s="24">
        <v>16455900</v>
      </c>
      <c r="L58" s="23">
        <v>15000000</v>
      </c>
      <c r="M58" s="24">
        <v>22286081</v>
      </c>
    </row>
    <row r="59" spans="1:16" ht="15.75" customHeight="1" outlineLevel="1" x14ac:dyDescent="0.2">
      <c r="A59" s="22" t="s">
        <v>55</v>
      </c>
      <c r="B59" s="23">
        <v>0</v>
      </c>
      <c r="C59" s="24">
        <v>23000</v>
      </c>
      <c r="D59" s="23">
        <v>19185000</v>
      </c>
      <c r="E59" s="24">
        <v>24600</v>
      </c>
      <c r="F59" s="23"/>
      <c r="G59" s="24"/>
      <c r="H59" s="23"/>
      <c r="I59" s="24"/>
      <c r="J59" s="23"/>
      <c r="K59" s="24"/>
      <c r="L59" s="23"/>
      <c r="M59" s="24"/>
    </row>
    <row r="60" spans="1:16" ht="15.75" customHeight="1" x14ac:dyDescent="0.2">
      <c r="A60" s="36" t="s">
        <v>15</v>
      </c>
      <c r="B60" s="37">
        <f t="shared" ref="B60:M60" si="22">SUM(B61:B66)</f>
        <v>4360513040</v>
      </c>
      <c r="C60" s="38">
        <f t="shared" si="22"/>
        <v>5124089891</v>
      </c>
      <c r="D60" s="37">
        <f t="shared" si="22"/>
        <v>6484742183</v>
      </c>
      <c r="E60" s="38">
        <f t="shared" si="22"/>
        <v>5808964609</v>
      </c>
      <c r="F60" s="37">
        <f t="shared" si="22"/>
        <v>6856149274</v>
      </c>
      <c r="G60" s="38">
        <f t="shared" si="22"/>
        <v>5463530320</v>
      </c>
      <c r="H60" s="37">
        <f t="shared" si="22"/>
        <v>5760698113</v>
      </c>
      <c r="I60" s="38">
        <f t="shared" si="22"/>
        <v>5590390509</v>
      </c>
      <c r="J60" s="37">
        <f t="shared" si="22"/>
        <v>6211430931</v>
      </c>
      <c r="K60" s="38">
        <f t="shared" si="22"/>
        <v>5861970192</v>
      </c>
      <c r="L60" s="37">
        <f t="shared" si="22"/>
        <v>5175649376</v>
      </c>
      <c r="M60" s="38">
        <f t="shared" si="22"/>
        <v>5610429917</v>
      </c>
    </row>
    <row r="61" spans="1:16" ht="15.75" customHeight="1" outlineLevel="1" x14ac:dyDescent="0.2">
      <c r="A61" s="32" t="s">
        <v>16</v>
      </c>
      <c r="B61" s="29">
        <v>297747601</v>
      </c>
      <c r="C61" s="30">
        <v>603086828</v>
      </c>
      <c r="D61" s="29">
        <v>490149240</v>
      </c>
      <c r="E61" s="30">
        <v>570299586</v>
      </c>
      <c r="F61" s="29">
        <v>500732055</v>
      </c>
      <c r="G61" s="30">
        <v>370238372</v>
      </c>
      <c r="H61" s="29">
        <v>385120755</v>
      </c>
      <c r="I61" s="30">
        <v>284795866</v>
      </c>
      <c r="J61" s="29">
        <v>559014000</v>
      </c>
      <c r="K61" s="30">
        <v>431229408</v>
      </c>
      <c r="L61" s="29">
        <v>364979534</v>
      </c>
      <c r="M61" s="30">
        <v>342902447</v>
      </c>
    </row>
    <row r="62" spans="1:16" ht="15.75" customHeight="1" outlineLevel="1" x14ac:dyDescent="0.2">
      <c r="A62" s="28" t="s">
        <v>56</v>
      </c>
      <c r="B62" s="29">
        <v>3746217352</v>
      </c>
      <c r="C62" s="30">
        <v>4119142362</v>
      </c>
      <c r="D62" s="29">
        <v>5566097450</v>
      </c>
      <c r="E62" s="30">
        <v>4754564822</v>
      </c>
      <c r="F62" s="29">
        <v>5852364319</v>
      </c>
      <c r="G62" s="30">
        <v>4648691774</v>
      </c>
      <c r="H62" s="29">
        <v>4827021094</v>
      </c>
      <c r="I62" s="30">
        <v>4710563103</v>
      </c>
      <c r="J62" s="29">
        <v>5126808831</v>
      </c>
      <c r="K62" s="30">
        <v>5150369124</v>
      </c>
      <c r="L62" s="29">
        <v>4380764617</v>
      </c>
      <c r="M62" s="30">
        <v>4603309170</v>
      </c>
    </row>
    <row r="63" spans="1:16" ht="15.75" customHeight="1" outlineLevel="1" x14ac:dyDescent="0.2">
      <c r="A63" s="28" t="s">
        <v>57</v>
      </c>
      <c r="B63" s="29">
        <v>310469320</v>
      </c>
      <c r="C63" s="30">
        <v>401248260</v>
      </c>
      <c r="D63" s="29">
        <v>380757240</v>
      </c>
      <c r="E63" s="30">
        <v>437719800</v>
      </c>
      <c r="F63" s="29">
        <v>495484800</v>
      </c>
      <c r="G63" s="30">
        <v>439812192</v>
      </c>
      <c r="H63" s="29">
        <v>419651100</v>
      </c>
      <c r="I63" s="30">
        <v>463488572</v>
      </c>
      <c r="J63" s="29">
        <v>500682100</v>
      </c>
      <c r="K63" s="30">
        <v>256317600</v>
      </c>
      <c r="L63" s="29">
        <v>428141425</v>
      </c>
      <c r="M63" s="30">
        <v>661421000</v>
      </c>
    </row>
    <row r="64" spans="1:16" ht="15.75" customHeight="1" outlineLevel="1" x14ac:dyDescent="0.2">
      <c r="A64" s="32" t="s">
        <v>58</v>
      </c>
      <c r="B64" s="29">
        <v>338365</v>
      </c>
      <c r="C64" s="30">
        <v>0</v>
      </c>
      <c r="D64" s="29">
        <v>1803932</v>
      </c>
      <c r="E64" s="30">
        <v>6038300</v>
      </c>
      <c r="F64" s="29">
        <v>1704900</v>
      </c>
      <c r="G64" s="30">
        <v>4787982</v>
      </c>
      <c r="H64" s="29">
        <v>3507700</v>
      </c>
      <c r="I64" s="30">
        <v>6145504</v>
      </c>
      <c r="J64" s="29">
        <v>3705200</v>
      </c>
      <c r="K64" s="30">
        <v>2686960</v>
      </c>
      <c r="L64" s="29">
        <v>1763800</v>
      </c>
      <c r="M64" s="30">
        <v>2797300</v>
      </c>
    </row>
    <row r="65" spans="1:13" ht="15.75" customHeight="1" outlineLevel="1" x14ac:dyDescent="0.2">
      <c r="A65" s="32" t="s">
        <v>59</v>
      </c>
      <c r="B65" s="29">
        <v>5740402</v>
      </c>
      <c r="C65" s="30">
        <v>612441</v>
      </c>
      <c r="D65" s="29">
        <v>7143437</v>
      </c>
      <c r="E65" s="30">
        <v>1551217</v>
      </c>
      <c r="F65" s="29">
        <v>5863200</v>
      </c>
      <c r="G65" s="30">
        <v>0</v>
      </c>
      <c r="H65" s="29"/>
      <c r="I65" s="30"/>
      <c r="J65" s="29">
        <v>0</v>
      </c>
      <c r="K65" s="30">
        <v>146300</v>
      </c>
      <c r="L65" s="29"/>
      <c r="M65" s="30"/>
    </row>
    <row r="66" spans="1:13" ht="15.75" customHeight="1" outlineLevel="1" x14ac:dyDescent="0.2">
      <c r="A66" s="28" t="s">
        <v>60</v>
      </c>
      <c r="B66" s="29"/>
      <c r="C66" s="30"/>
      <c r="D66" s="29">
        <v>38790884</v>
      </c>
      <c r="E66" s="30">
        <v>38790884</v>
      </c>
      <c r="F66" s="29"/>
      <c r="G66" s="30"/>
      <c r="H66" s="29">
        <v>125397464</v>
      </c>
      <c r="I66" s="30">
        <v>125397464</v>
      </c>
      <c r="J66" s="29">
        <v>21220800</v>
      </c>
      <c r="K66" s="30">
        <v>21220800</v>
      </c>
      <c r="L66" s="29"/>
      <c r="M66" s="30"/>
    </row>
    <row r="67" spans="1:13" ht="15.75" customHeight="1" x14ac:dyDescent="0.2">
      <c r="A67" s="36" t="s">
        <v>61</v>
      </c>
      <c r="B67" s="37">
        <f t="shared" ref="B67:M67" si="23">SUM(B68:B76)</f>
        <v>2659895741</v>
      </c>
      <c r="C67" s="38">
        <f t="shared" si="23"/>
        <v>2392143248</v>
      </c>
      <c r="D67" s="37">
        <f t="shared" si="23"/>
        <v>4564211286</v>
      </c>
      <c r="E67" s="38">
        <f t="shared" si="23"/>
        <v>3468991027</v>
      </c>
      <c r="F67" s="37">
        <f t="shared" si="23"/>
        <v>5543233925</v>
      </c>
      <c r="G67" s="38">
        <f t="shared" si="23"/>
        <v>4706169136</v>
      </c>
      <c r="H67" s="37">
        <f t="shared" si="23"/>
        <v>4746397992</v>
      </c>
      <c r="I67" s="38">
        <f t="shared" si="23"/>
        <v>5139917790</v>
      </c>
      <c r="J67" s="37">
        <f t="shared" si="23"/>
        <v>5138122316</v>
      </c>
      <c r="K67" s="38">
        <f t="shared" si="23"/>
        <v>3261730439</v>
      </c>
      <c r="L67" s="37">
        <f t="shared" si="23"/>
        <v>7922465464</v>
      </c>
      <c r="M67" s="38">
        <f t="shared" si="23"/>
        <v>7965794342</v>
      </c>
    </row>
    <row r="68" spans="1:13" ht="15.75" customHeight="1" outlineLevel="1" x14ac:dyDescent="0.2">
      <c r="A68" s="28" t="s">
        <v>62</v>
      </c>
      <c r="B68" s="29">
        <v>1457811443</v>
      </c>
      <c r="C68" s="30">
        <v>1242886952</v>
      </c>
      <c r="D68" s="29">
        <v>3132310480</v>
      </c>
      <c r="E68" s="30">
        <v>2340549856</v>
      </c>
      <c r="F68" s="29">
        <v>4435493210</v>
      </c>
      <c r="G68" s="30">
        <v>3817462835</v>
      </c>
      <c r="H68" s="29">
        <v>3346831032</v>
      </c>
      <c r="I68" s="30">
        <v>3904756268</v>
      </c>
      <c r="J68" s="29">
        <v>2876863554</v>
      </c>
      <c r="K68" s="30">
        <v>1472131475</v>
      </c>
      <c r="L68" s="29">
        <v>6840224622</v>
      </c>
      <c r="M68" s="30">
        <v>6796344328</v>
      </c>
    </row>
    <row r="69" spans="1:13" ht="15.75" customHeight="1" outlineLevel="1" x14ac:dyDescent="0.2">
      <c r="A69" s="28" t="s">
        <v>63</v>
      </c>
      <c r="B69" s="29">
        <v>497210735</v>
      </c>
      <c r="C69" s="30">
        <v>617687184</v>
      </c>
      <c r="D69" s="29">
        <v>455074398</v>
      </c>
      <c r="E69" s="30">
        <v>444938321</v>
      </c>
      <c r="F69" s="29">
        <v>238722868</v>
      </c>
      <c r="G69" s="30">
        <v>256806502</v>
      </c>
      <c r="H69" s="29">
        <v>591730157</v>
      </c>
      <c r="I69" s="30">
        <v>698584102</v>
      </c>
      <c r="J69" s="29">
        <v>1167071059</v>
      </c>
      <c r="K69" s="30">
        <v>1253975752</v>
      </c>
      <c r="L69" s="29">
        <v>405731213</v>
      </c>
      <c r="M69" s="30">
        <v>458902898</v>
      </c>
    </row>
    <row r="70" spans="1:13" ht="15.75" customHeight="1" outlineLevel="1" x14ac:dyDescent="0.2">
      <c r="A70" s="28" t="s">
        <v>64</v>
      </c>
      <c r="B70" s="29">
        <v>45200000</v>
      </c>
      <c r="C70" s="30">
        <v>103407912</v>
      </c>
      <c r="D70" s="29">
        <v>100000000</v>
      </c>
      <c r="E70" s="30">
        <v>72341466</v>
      </c>
      <c r="F70" s="29">
        <v>157272603</v>
      </c>
      <c r="G70" s="30">
        <v>203683544</v>
      </c>
      <c r="H70" s="29">
        <v>80000000</v>
      </c>
      <c r="I70" s="30">
        <v>101576345</v>
      </c>
      <c r="J70" s="29">
        <v>60000000</v>
      </c>
      <c r="K70" s="30">
        <v>37688815</v>
      </c>
      <c r="L70" s="29">
        <v>110482500</v>
      </c>
      <c r="M70" s="30">
        <v>112224864</v>
      </c>
    </row>
    <row r="71" spans="1:13" ht="15.75" customHeight="1" outlineLevel="1" x14ac:dyDescent="0.2">
      <c r="A71" s="28" t="s">
        <v>65</v>
      </c>
      <c r="B71" s="29">
        <v>54560643</v>
      </c>
      <c r="C71" s="30">
        <v>38657000</v>
      </c>
      <c r="D71" s="29">
        <v>177966357</v>
      </c>
      <c r="E71" s="30">
        <v>169713057</v>
      </c>
      <c r="F71" s="29">
        <v>91524710</v>
      </c>
      <c r="G71" s="30">
        <v>34090000</v>
      </c>
      <c r="H71" s="29">
        <v>58876500</v>
      </c>
      <c r="I71" s="30">
        <v>54981228</v>
      </c>
      <c r="J71" s="29">
        <v>375850000</v>
      </c>
      <c r="K71" s="30">
        <v>292424836</v>
      </c>
      <c r="L71" s="29">
        <v>165136200</v>
      </c>
      <c r="M71" s="30">
        <v>367981200</v>
      </c>
    </row>
    <row r="72" spans="1:13" ht="15.75" customHeight="1" outlineLevel="1" x14ac:dyDescent="0.2">
      <c r="A72" s="28" t="s">
        <v>66</v>
      </c>
      <c r="B72" s="29">
        <v>32930000</v>
      </c>
      <c r="C72" s="30">
        <v>32930000</v>
      </c>
      <c r="D72" s="29"/>
      <c r="E72" s="30"/>
      <c r="F72" s="29">
        <v>144000000</v>
      </c>
      <c r="G72" s="30">
        <v>140484942</v>
      </c>
      <c r="H72" s="29">
        <v>166367611</v>
      </c>
      <c r="I72" s="30">
        <v>166367611</v>
      </c>
      <c r="J72" s="29"/>
      <c r="K72" s="30"/>
      <c r="L72" s="29"/>
      <c r="M72" s="30"/>
    </row>
    <row r="73" spans="1:13" ht="15.75" customHeight="1" outlineLevel="1" x14ac:dyDescent="0.2">
      <c r="A73" s="28" t="s">
        <v>67</v>
      </c>
      <c r="B73" s="29">
        <v>71733400</v>
      </c>
      <c r="C73" s="30">
        <v>82539200</v>
      </c>
      <c r="D73" s="29">
        <v>146280834</v>
      </c>
      <c r="E73" s="30">
        <v>89120834</v>
      </c>
      <c r="F73" s="29">
        <v>285163693</v>
      </c>
      <c r="G73" s="30">
        <v>146126791</v>
      </c>
      <c r="H73" s="29">
        <v>45406508</v>
      </c>
      <c r="I73" s="30">
        <v>44174636</v>
      </c>
      <c r="J73" s="29">
        <v>104720000</v>
      </c>
      <c r="K73" s="30">
        <v>80219999</v>
      </c>
      <c r="L73" s="29">
        <v>99720000</v>
      </c>
      <c r="M73" s="30">
        <v>88879980</v>
      </c>
    </row>
    <row r="74" spans="1:13" ht="15.75" customHeight="1" outlineLevel="1" x14ac:dyDescent="0.2">
      <c r="A74" s="28" t="s">
        <v>68</v>
      </c>
      <c r="B74" s="29">
        <v>30000000</v>
      </c>
      <c r="C74" s="30">
        <v>8275000</v>
      </c>
      <c r="D74" s="29">
        <v>9359000</v>
      </c>
      <c r="E74" s="30">
        <v>4219280</v>
      </c>
      <c r="F74" s="29">
        <v>69324000</v>
      </c>
      <c r="G74" s="30">
        <v>10019522</v>
      </c>
      <c r="H74" s="29">
        <v>92186184</v>
      </c>
      <c r="I74" s="30">
        <v>20677600</v>
      </c>
      <c r="J74" s="29">
        <v>150000000</v>
      </c>
      <c r="K74" s="30">
        <v>5000000</v>
      </c>
      <c r="L74" s="29">
        <v>110000000</v>
      </c>
      <c r="M74" s="30">
        <v>26850440</v>
      </c>
    </row>
    <row r="75" spans="1:13" ht="15.75" customHeight="1" outlineLevel="1" x14ac:dyDescent="0.2">
      <c r="A75" s="28" t="s">
        <v>69</v>
      </c>
      <c r="B75" s="29">
        <v>470449520</v>
      </c>
      <c r="C75" s="30">
        <v>265760000</v>
      </c>
      <c r="D75" s="29">
        <v>543220217</v>
      </c>
      <c r="E75" s="30">
        <v>348108213</v>
      </c>
      <c r="F75" s="29">
        <v>121732841</v>
      </c>
      <c r="G75" s="30">
        <v>97495000</v>
      </c>
      <c r="H75" s="29">
        <v>365000000</v>
      </c>
      <c r="I75" s="30">
        <v>148800000</v>
      </c>
      <c r="J75" s="29">
        <v>403617703</v>
      </c>
      <c r="K75" s="30">
        <v>120289562</v>
      </c>
      <c r="L75" s="29">
        <v>191170929</v>
      </c>
      <c r="M75" s="30">
        <v>0</v>
      </c>
    </row>
    <row r="76" spans="1:13" ht="15.75" customHeight="1" outlineLevel="1" x14ac:dyDescent="0.2">
      <c r="A76" s="32" t="s">
        <v>70</v>
      </c>
      <c r="B76" s="29"/>
      <c r="C76" s="30"/>
      <c r="D76" s="29"/>
      <c r="E76" s="30"/>
      <c r="F76" s="29"/>
      <c r="G76" s="30"/>
      <c r="H76" s="29"/>
      <c r="I76" s="30"/>
      <c r="J76" s="29"/>
      <c r="K76" s="30"/>
      <c r="L76" s="29">
        <v>0</v>
      </c>
      <c r="M76" s="30">
        <v>114610632</v>
      </c>
    </row>
    <row r="77" spans="1:13" ht="15.75" customHeight="1" x14ac:dyDescent="0.2">
      <c r="A77" s="19" t="s">
        <v>71</v>
      </c>
      <c r="B77" s="20">
        <f t="shared" ref="B77:M77" si="24">SUM(B78:B79)</f>
        <v>40000000</v>
      </c>
      <c r="C77" s="21">
        <f t="shared" si="24"/>
        <v>69668780</v>
      </c>
      <c r="D77" s="20">
        <f t="shared" si="24"/>
        <v>50194250</v>
      </c>
      <c r="E77" s="21">
        <f t="shared" si="24"/>
        <v>75080500</v>
      </c>
      <c r="F77" s="20">
        <f t="shared" si="24"/>
        <v>67000000</v>
      </c>
      <c r="G77" s="21">
        <f t="shared" si="24"/>
        <v>62673046</v>
      </c>
      <c r="H77" s="20">
        <f t="shared" si="24"/>
        <v>64000000</v>
      </c>
      <c r="I77" s="21">
        <f t="shared" si="24"/>
        <v>72505804</v>
      </c>
      <c r="J77" s="20">
        <f t="shared" si="24"/>
        <v>64000000</v>
      </c>
      <c r="K77" s="21">
        <f t="shared" si="24"/>
        <v>12680302</v>
      </c>
      <c r="L77" s="20">
        <f t="shared" si="24"/>
        <v>34000000</v>
      </c>
      <c r="M77" s="21">
        <f t="shared" si="24"/>
        <v>0</v>
      </c>
    </row>
    <row r="78" spans="1:13" ht="15.75" customHeight="1" outlineLevel="1" x14ac:dyDescent="0.2">
      <c r="A78" s="22" t="s">
        <v>72</v>
      </c>
      <c r="B78" s="23">
        <v>0</v>
      </c>
      <c r="C78" s="24">
        <v>23073000</v>
      </c>
      <c r="D78" s="23">
        <v>0</v>
      </c>
      <c r="E78" s="24">
        <v>25676700</v>
      </c>
      <c r="F78" s="23">
        <v>17000000</v>
      </c>
      <c r="G78" s="24">
        <v>20419232</v>
      </c>
      <c r="H78" s="23">
        <v>14000000</v>
      </c>
      <c r="I78" s="24">
        <v>23649900</v>
      </c>
      <c r="J78" s="23">
        <v>14000000</v>
      </c>
      <c r="K78" s="24">
        <v>2149500</v>
      </c>
      <c r="L78" s="23">
        <v>4000000</v>
      </c>
      <c r="M78" s="24">
        <v>0</v>
      </c>
    </row>
    <row r="79" spans="1:13" ht="15.75" customHeight="1" outlineLevel="1" x14ac:dyDescent="0.2">
      <c r="A79" s="22" t="s">
        <v>73</v>
      </c>
      <c r="B79" s="23">
        <v>40000000</v>
      </c>
      <c r="C79" s="24">
        <v>46595780</v>
      </c>
      <c r="D79" s="23">
        <v>50194250</v>
      </c>
      <c r="E79" s="24">
        <v>49403800</v>
      </c>
      <c r="F79" s="23">
        <v>50000000</v>
      </c>
      <c r="G79" s="24">
        <v>42253814</v>
      </c>
      <c r="H79" s="23">
        <v>50000000</v>
      </c>
      <c r="I79" s="24">
        <v>48855904</v>
      </c>
      <c r="J79" s="23">
        <v>50000000</v>
      </c>
      <c r="K79" s="24">
        <v>10530802</v>
      </c>
      <c r="L79" s="23">
        <v>30000000</v>
      </c>
      <c r="M79" s="24">
        <v>0</v>
      </c>
    </row>
    <row r="80" spans="1:13" ht="15.75" customHeight="1" x14ac:dyDescent="0.2">
      <c r="A80" s="25" t="s">
        <v>74</v>
      </c>
      <c r="B80" s="26">
        <f t="shared" ref="B80:M80" si="25">SUM(B81:B81)</f>
        <v>1789131219</v>
      </c>
      <c r="C80" s="27">
        <f t="shared" si="25"/>
        <v>1967541043</v>
      </c>
      <c r="D80" s="26">
        <f t="shared" si="25"/>
        <v>3197329990</v>
      </c>
      <c r="E80" s="27">
        <f t="shared" si="25"/>
        <v>2711597479</v>
      </c>
      <c r="F80" s="26">
        <f t="shared" si="25"/>
        <v>2660007768</v>
      </c>
      <c r="G80" s="27">
        <f t="shared" si="25"/>
        <v>2649388082</v>
      </c>
      <c r="H80" s="26">
        <f t="shared" si="25"/>
        <v>2955423735</v>
      </c>
      <c r="I80" s="27">
        <f t="shared" si="25"/>
        <v>2711717408</v>
      </c>
      <c r="J80" s="26">
        <f t="shared" si="25"/>
        <v>3002243155</v>
      </c>
      <c r="K80" s="27">
        <f t="shared" si="25"/>
        <v>3471265719</v>
      </c>
      <c r="L80" s="26">
        <f t="shared" si="25"/>
        <v>2749924200</v>
      </c>
      <c r="M80" s="27">
        <f t="shared" si="25"/>
        <v>2745089312</v>
      </c>
    </row>
    <row r="81" spans="1:28" ht="15.75" customHeight="1" outlineLevel="1" x14ac:dyDescent="0.2">
      <c r="A81" s="32" t="s">
        <v>75</v>
      </c>
      <c r="B81" s="23">
        <v>1789131219</v>
      </c>
      <c r="C81" s="24">
        <v>1967541043</v>
      </c>
      <c r="D81" s="23">
        <v>3197329990</v>
      </c>
      <c r="E81" s="24">
        <v>2711597479</v>
      </c>
      <c r="F81" s="23">
        <v>2660007768</v>
      </c>
      <c r="G81" s="24">
        <v>2649388082</v>
      </c>
      <c r="H81" s="23">
        <v>2955423735</v>
      </c>
      <c r="I81" s="24">
        <v>2711717408</v>
      </c>
      <c r="J81" s="23">
        <v>3002243155</v>
      </c>
      <c r="K81" s="24">
        <v>3471265719</v>
      </c>
      <c r="L81" s="23">
        <v>2749924200</v>
      </c>
      <c r="M81" s="24">
        <v>2745089312</v>
      </c>
    </row>
    <row r="82" spans="1:28" ht="15.75" customHeight="1" x14ac:dyDescent="0.2">
      <c r="A82" s="25" t="s">
        <v>76</v>
      </c>
      <c r="B82" s="26">
        <f t="shared" ref="B82:M82" si="26">SUM(B83:B84)</f>
        <v>222000000</v>
      </c>
      <c r="C82" s="27">
        <f t="shared" si="26"/>
        <v>234849075</v>
      </c>
      <c r="D82" s="26">
        <f t="shared" si="26"/>
        <v>207000000</v>
      </c>
      <c r="E82" s="27">
        <f t="shared" si="26"/>
        <v>261042656</v>
      </c>
      <c r="F82" s="26">
        <f t="shared" si="26"/>
        <v>224301519</v>
      </c>
      <c r="G82" s="27">
        <f t="shared" si="26"/>
        <v>296191389</v>
      </c>
      <c r="H82" s="26">
        <f t="shared" si="26"/>
        <v>254000000</v>
      </c>
      <c r="I82" s="27">
        <f t="shared" si="26"/>
        <v>284750684</v>
      </c>
      <c r="J82" s="26">
        <f t="shared" si="26"/>
        <v>174000000</v>
      </c>
      <c r="K82" s="27">
        <f t="shared" si="26"/>
        <v>48779874</v>
      </c>
      <c r="L82" s="26">
        <f t="shared" si="26"/>
        <v>56000000</v>
      </c>
      <c r="M82" s="27">
        <f t="shared" si="26"/>
        <v>122054296</v>
      </c>
    </row>
    <row r="83" spans="1:28" ht="15.75" customHeight="1" outlineLevel="1" x14ac:dyDescent="0.2">
      <c r="A83" s="22" t="s">
        <v>77</v>
      </c>
      <c r="B83" s="23">
        <v>22000000</v>
      </c>
      <c r="C83" s="24">
        <v>5688179</v>
      </c>
      <c r="D83" s="23">
        <v>2000000</v>
      </c>
      <c r="E83" s="24">
        <v>3876000</v>
      </c>
      <c r="F83" s="23">
        <v>3500000</v>
      </c>
      <c r="G83" s="24">
        <v>4944286</v>
      </c>
      <c r="H83" s="23">
        <v>4000000</v>
      </c>
      <c r="I83" s="24">
        <v>4622672</v>
      </c>
      <c r="J83" s="23">
        <v>4000000</v>
      </c>
      <c r="K83" s="24">
        <v>1355179</v>
      </c>
      <c r="L83" s="23">
        <v>1000000</v>
      </c>
      <c r="M83" s="24">
        <v>2184500</v>
      </c>
    </row>
    <row r="84" spans="1:28" ht="15.75" customHeight="1" outlineLevel="1" x14ac:dyDescent="0.2">
      <c r="A84" s="22" t="s">
        <v>78</v>
      </c>
      <c r="B84" s="23">
        <v>200000000</v>
      </c>
      <c r="C84" s="24">
        <v>229160896</v>
      </c>
      <c r="D84" s="23">
        <v>205000000</v>
      </c>
      <c r="E84" s="24">
        <v>257166656</v>
      </c>
      <c r="F84" s="23">
        <v>220801519</v>
      </c>
      <c r="G84" s="24">
        <v>291247103</v>
      </c>
      <c r="H84" s="23">
        <v>250000000</v>
      </c>
      <c r="I84" s="24">
        <v>280128012</v>
      </c>
      <c r="J84" s="23">
        <v>170000000</v>
      </c>
      <c r="K84" s="24">
        <v>47424695</v>
      </c>
      <c r="L84" s="23">
        <v>55000000</v>
      </c>
      <c r="M84" s="24">
        <v>119869796</v>
      </c>
    </row>
    <row r="85" spans="1:28" ht="15.75" customHeight="1" x14ac:dyDescent="0.2">
      <c r="A85" s="25" t="s">
        <v>79</v>
      </c>
      <c r="B85" s="26">
        <f t="shared" ref="B85:M85" si="27">SUM(B86:B88)</f>
        <v>20567400</v>
      </c>
      <c r="C85" s="27">
        <f t="shared" si="27"/>
        <v>12130587</v>
      </c>
      <c r="D85" s="26">
        <f t="shared" si="27"/>
        <v>7000000</v>
      </c>
      <c r="E85" s="27">
        <f t="shared" si="27"/>
        <v>25622015</v>
      </c>
      <c r="F85" s="26">
        <f t="shared" si="27"/>
        <v>13315000</v>
      </c>
      <c r="G85" s="27">
        <f t="shared" si="27"/>
        <v>21579856</v>
      </c>
      <c r="H85" s="26">
        <f t="shared" si="27"/>
        <v>8863862</v>
      </c>
      <c r="I85" s="27">
        <f t="shared" si="27"/>
        <v>9016265</v>
      </c>
      <c r="J85" s="26">
        <f t="shared" si="27"/>
        <v>18453240</v>
      </c>
      <c r="K85" s="27">
        <f t="shared" si="27"/>
        <v>2568920</v>
      </c>
      <c r="L85" s="26">
        <f t="shared" si="27"/>
        <v>8540000</v>
      </c>
      <c r="M85" s="27">
        <f t="shared" si="27"/>
        <v>3884532</v>
      </c>
    </row>
    <row r="86" spans="1:28" ht="15.75" customHeight="1" outlineLevel="1" x14ac:dyDescent="0.2">
      <c r="A86" s="22" t="s">
        <v>80</v>
      </c>
      <c r="B86" s="23">
        <v>20507400</v>
      </c>
      <c r="C86" s="24">
        <v>11910587</v>
      </c>
      <c r="D86" s="23">
        <v>6800000</v>
      </c>
      <c r="E86" s="24">
        <v>18076015</v>
      </c>
      <c r="F86" s="23">
        <v>8315000</v>
      </c>
      <c r="G86" s="24">
        <v>9319856</v>
      </c>
      <c r="H86" s="23">
        <v>8363862</v>
      </c>
      <c r="I86" s="24">
        <v>7486745</v>
      </c>
      <c r="J86" s="23">
        <v>6353240</v>
      </c>
      <c r="K86" s="24">
        <v>2568920</v>
      </c>
      <c r="L86" s="23">
        <v>8540000</v>
      </c>
      <c r="M86" s="24">
        <v>3884532</v>
      </c>
    </row>
    <row r="87" spans="1:28" ht="15.75" customHeight="1" outlineLevel="1" x14ac:dyDescent="0.2">
      <c r="A87" s="22" t="s">
        <v>81</v>
      </c>
      <c r="B87" s="23">
        <v>60000</v>
      </c>
      <c r="C87" s="24">
        <v>220000</v>
      </c>
      <c r="D87" s="23">
        <v>200000</v>
      </c>
      <c r="E87" s="24">
        <v>7546000</v>
      </c>
      <c r="F87" s="23">
        <v>5000000</v>
      </c>
      <c r="G87" s="24">
        <v>12260000</v>
      </c>
      <c r="H87" s="23">
        <v>500000</v>
      </c>
      <c r="I87" s="24">
        <v>5520</v>
      </c>
      <c r="J87" s="23">
        <v>12100000</v>
      </c>
      <c r="K87" s="24">
        <v>0</v>
      </c>
      <c r="L87" s="23"/>
      <c r="M87" s="24"/>
    </row>
    <row r="88" spans="1:28" ht="15.75" customHeight="1" outlineLevel="1" x14ac:dyDescent="0.2">
      <c r="A88" s="22" t="s">
        <v>82</v>
      </c>
      <c r="B88" s="23"/>
      <c r="C88" s="24"/>
      <c r="D88" s="23"/>
      <c r="E88" s="24"/>
      <c r="F88" s="23"/>
      <c r="G88" s="24"/>
      <c r="H88" s="23">
        <v>0</v>
      </c>
      <c r="I88" s="24">
        <v>1524000</v>
      </c>
      <c r="J88" s="23"/>
      <c r="K88" s="24"/>
      <c r="L88" s="23"/>
      <c r="M88" s="24"/>
    </row>
    <row r="89" spans="1:28" ht="15.75" customHeight="1" x14ac:dyDescent="0.2">
      <c r="A89" s="25" t="s">
        <v>83</v>
      </c>
      <c r="B89" s="26">
        <f t="shared" ref="B89:M89" si="28">SUM(B90:B94)</f>
        <v>0</v>
      </c>
      <c r="C89" s="27">
        <f t="shared" si="28"/>
        <v>372313607</v>
      </c>
      <c r="D89" s="26">
        <f t="shared" si="28"/>
        <v>5300000</v>
      </c>
      <c r="E89" s="27">
        <f t="shared" si="28"/>
        <v>231061827</v>
      </c>
      <c r="F89" s="26">
        <f t="shared" si="28"/>
        <v>6500000</v>
      </c>
      <c r="G89" s="27">
        <f t="shared" si="28"/>
        <v>328461051</v>
      </c>
      <c r="H89" s="26">
        <f t="shared" si="28"/>
        <v>380000</v>
      </c>
      <c r="I89" s="27">
        <f t="shared" si="28"/>
        <v>180829135</v>
      </c>
      <c r="J89" s="26">
        <f t="shared" si="28"/>
        <v>2237500</v>
      </c>
      <c r="K89" s="27">
        <f t="shared" si="28"/>
        <v>809841941</v>
      </c>
      <c r="L89" s="26">
        <f t="shared" si="28"/>
        <v>138697380</v>
      </c>
      <c r="M89" s="27">
        <f t="shared" si="28"/>
        <v>602938400</v>
      </c>
    </row>
    <row r="90" spans="1:28" ht="15.75" customHeight="1" outlineLevel="1" x14ac:dyDescent="0.2">
      <c r="A90" s="32" t="s">
        <v>84</v>
      </c>
      <c r="B90" s="23">
        <v>0</v>
      </c>
      <c r="C90" s="24">
        <v>335225125</v>
      </c>
      <c r="D90" s="23">
        <v>0</v>
      </c>
      <c r="E90" s="24">
        <v>205000000</v>
      </c>
      <c r="F90" s="23">
        <v>0</v>
      </c>
      <c r="G90" s="24">
        <v>251954196</v>
      </c>
      <c r="H90" s="23">
        <v>380000</v>
      </c>
      <c r="I90" s="24">
        <v>156502435</v>
      </c>
      <c r="J90" s="23">
        <v>2035300</v>
      </c>
      <c r="K90" s="24">
        <v>761394600</v>
      </c>
      <c r="L90" s="23">
        <v>90313200</v>
      </c>
      <c r="M90" s="24">
        <v>452422400</v>
      </c>
    </row>
    <row r="91" spans="1:28" ht="15.75" customHeight="1" outlineLevel="1" x14ac:dyDescent="0.2">
      <c r="A91" s="32" t="s">
        <v>85</v>
      </c>
      <c r="B91" s="23">
        <v>0</v>
      </c>
      <c r="C91" s="24">
        <v>4960522</v>
      </c>
      <c r="D91" s="23">
        <v>1300000</v>
      </c>
      <c r="E91" s="24">
        <v>20862540</v>
      </c>
      <c r="F91" s="23">
        <v>2500000</v>
      </c>
      <c r="G91" s="24">
        <v>6146740</v>
      </c>
      <c r="H91" s="23">
        <v>0</v>
      </c>
      <c r="I91" s="24">
        <v>3632700</v>
      </c>
      <c r="J91" s="23"/>
      <c r="K91" s="24"/>
      <c r="L91" s="23"/>
      <c r="M91" s="24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spans="1:28" ht="15.75" customHeight="1" outlineLevel="1" x14ac:dyDescent="0.2">
      <c r="A92" s="32" t="s">
        <v>86</v>
      </c>
      <c r="B92" s="23">
        <v>0</v>
      </c>
      <c r="C92" s="24">
        <v>32127960</v>
      </c>
      <c r="D92" s="23">
        <v>4000000</v>
      </c>
      <c r="E92" s="24">
        <v>5199287</v>
      </c>
      <c r="F92" s="23">
        <v>4000000</v>
      </c>
      <c r="G92" s="24">
        <v>723315</v>
      </c>
      <c r="H92" s="23"/>
      <c r="I92" s="24"/>
      <c r="J92" s="23">
        <v>202200</v>
      </c>
      <c r="K92" s="24">
        <v>42849741</v>
      </c>
      <c r="L92" s="23">
        <v>209300</v>
      </c>
      <c r="M92" s="24">
        <v>50000000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spans="1:28" ht="15.75" customHeight="1" outlineLevel="1" x14ac:dyDescent="0.2">
      <c r="A93" s="22" t="s">
        <v>87</v>
      </c>
      <c r="B93" s="23"/>
      <c r="C93" s="24"/>
      <c r="D93" s="23"/>
      <c r="E93" s="24"/>
      <c r="F93" s="23">
        <v>0</v>
      </c>
      <c r="G93" s="24">
        <v>63764800</v>
      </c>
      <c r="H93" s="23">
        <v>0</v>
      </c>
      <c r="I93" s="24">
        <v>10378000</v>
      </c>
      <c r="J93" s="23">
        <v>0</v>
      </c>
      <c r="K93" s="24">
        <v>1391600</v>
      </c>
      <c r="L93" s="23"/>
      <c r="M93" s="24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spans="1:28" ht="15.75" customHeight="1" outlineLevel="1" x14ac:dyDescent="0.2">
      <c r="A94" s="22" t="s">
        <v>88</v>
      </c>
      <c r="B94" s="23"/>
      <c r="C94" s="24"/>
      <c r="D94" s="23"/>
      <c r="E94" s="24"/>
      <c r="F94" s="23">
        <v>0</v>
      </c>
      <c r="G94" s="24">
        <v>5872000</v>
      </c>
      <c r="H94" s="23">
        <v>0</v>
      </c>
      <c r="I94" s="24">
        <v>10316000</v>
      </c>
      <c r="J94" s="23">
        <v>0</v>
      </c>
      <c r="K94" s="24">
        <v>4206000</v>
      </c>
      <c r="L94" s="23">
        <v>48174880</v>
      </c>
      <c r="M94" s="24">
        <v>100516000</v>
      </c>
      <c r="O94" s="31"/>
      <c r="P94" s="31"/>
      <c r="Q94" s="31"/>
      <c r="R94" s="31"/>
      <c r="AA94" s="31"/>
      <c r="AB94" s="31"/>
    </row>
    <row r="95" spans="1:28" ht="15.75" customHeight="1" x14ac:dyDescent="0.2">
      <c r="A95" s="25" t="s">
        <v>89</v>
      </c>
      <c r="B95" s="26">
        <f t="shared" ref="B95:M95" si="29">SUM(B96:B96)</f>
        <v>516378938</v>
      </c>
      <c r="C95" s="27">
        <f t="shared" si="29"/>
        <v>856295889</v>
      </c>
      <c r="D95" s="26">
        <f t="shared" si="29"/>
        <v>843223148</v>
      </c>
      <c r="E95" s="27">
        <f t="shared" si="29"/>
        <v>932560402</v>
      </c>
      <c r="F95" s="26">
        <f t="shared" si="29"/>
        <v>445933246</v>
      </c>
      <c r="G95" s="27">
        <f t="shared" si="29"/>
        <v>904598074</v>
      </c>
      <c r="H95" s="26">
        <f t="shared" si="29"/>
        <v>111376206</v>
      </c>
      <c r="I95" s="27">
        <f t="shared" si="29"/>
        <v>358189067</v>
      </c>
      <c r="J95" s="26">
        <f t="shared" si="29"/>
        <v>455365086</v>
      </c>
      <c r="K95" s="27">
        <f t="shared" si="29"/>
        <v>666387403</v>
      </c>
      <c r="L95" s="26">
        <f t="shared" si="29"/>
        <v>438237830</v>
      </c>
      <c r="M95" s="27">
        <f t="shared" si="29"/>
        <v>436561452</v>
      </c>
      <c r="O95" s="31"/>
      <c r="P95" s="31"/>
      <c r="Q95" s="31"/>
      <c r="R95" s="31"/>
    </row>
    <row r="96" spans="1:28" ht="15.75" customHeight="1" outlineLevel="1" x14ac:dyDescent="0.2">
      <c r="A96" s="32" t="s">
        <v>24</v>
      </c>
      <c r="B96" s="23">
        <v>516378938</v>
      </c>
      <c r="C96" s="24">
        <v>856295889</v>
      </c>
      <c r="D96" s="23">
        <v>843223148</v>
      </c>
      <c r="E96" s="24">
        <v>932560402</v>
      </c>
      <c r="F96" s="23">
        <v>445933246</v>
      </c>
      <c r="G96" s="24">
        <v>904598074</v>
      </c>
      <c r="H96" s="23">
        <v>111376206</v>
      </c>
      <c r="I96" s="24">
        <v>358189067</v>
      </c>
      <c r="J96" s="23">
        <v>455365086</v>
      </c>
      <c r="K96" s="24">
        <v>666387403</v>
      </c>
      <c r="L96" s="23">
        <v>438237830</v>
      </c>
      <c r="M96" s="24">
        <v>436561452</v>
      </c>
      <c r="O96" s="31"/>
      <c r="P96" s="31"/>
      <c r="Q96" s="31"/>
      <c r="R96" s="31"/>
    </row>
    <row r="97" spans="1:18" ht="15.75" customHeight="1" x14ac:dyDescent="0.2">
      <c r="A97" s="25" t="s">
        <v>90</v>
      </c>
      <c r="B97" s="26">
        <f t="shared" ref="B97:M97" si="30">SUM(B98:B104)</f>
        <v>3468847793</v>
      </c>
      <c r="C97" s="27">
        <f t="shared" si="30"/>
        <v>3370357593</v>
      </c>
      <c r="D97" s="26">
        <f t="shared" si="30"/>
        <v>3215380490</v>
      </c>
      <c r="E97" s="27">
        <f t="shared" si="30"/>
        <v>3303173606</v>
      </c>
      <c r="F97" s="26">
        <f t="shared" si="30"/>
        <v>2923841657</v>
      </c>
      <c r="G97" s="27">
        <f t="shared" si="30"/>
        <v>3018601001</v>
      </c>
      <c r="H97" s="26">
        <f t="shared" si="30"/>
        <v>3176963104</v>
      </c>
      <c r="I97" s="27">
        <f t="shared" si="30"/>
        <v>2716489988</v>
      </c>
      <c r="J97" s="26">
        <f t="shared" si="30"/>
        <v>2227791997</v>
      </c>
      <c r="K97" s="27">
        <f t="shared" si="30"/>
        <v>2550670772</v>
      </c>
      <c r="L97" s="26">
        <f t="shared" si="30"/>
        <v>2451179907</v>
      </c>
      <c r="M97" s="27">
        <f t="shared" si="30"/>
        <v>2414494287</v>
      </c>
      <c r="O97" s="31"/>
      <c r="P97" s="31"/>
      <c r="Q97" s="31"/>
      <c r="R97" s="31"/>
    </row>
    <row r="98" spans="1:18" ht="15.75" customHeight="1" outlineLevel="1" x14ac:dyDescent="0.2">
      <c r="A98" s="22" t="s">
        <v>26</v>
      </c>
      <c r="B98" s="23">
        <v>60567090</v>
      </c>
      <c r="C98" s="24">
        <v>128442251</v>
      </c>
      <c r="D98" s="23">
        <v>54614278</v>
      </c>
      <c r="E98" s="24">
        <v>88593801</v>
      </c>
      <c r="F98" s="23">
        <v>55909400</v>
      </c>
      <c r="G98" s="24">
        <v>54274372</v>
      </c>
      <c r="H98" s="23">
        <v>74696400</v>
      </c>
      <c r="I98" s="24">
        <v>15374468</v>
      </c>
      <c r="J98" s="23">
        <v>25773000</v>
      </c>
      <c r="K98" s="24">
        <v>55818078</v>
      </c>
      <c r="L98" s="23">
        <v>48802358</v>
      </c>
      <c r="M98" s="24">
        <v>34857740</v>
      </c>
      <c r="O98" s="31"/>
      <c r="P98" s="31"/>
      <c r="Q98" s="31"/>
      <c r="R98" s="31"/>
    </row>
    <row r="99" spans="1:18" ht="15.75" customHeight="1" outlineLevel="1" x14ac:dyDescent="0.2">
      <c r="A99" s="22" t="s">
        <v>91</v>
      </c>
      <c r="B99" s="23">
        <v>105000000</v>
      </c>
      <c r="C99" s="24">
        <v>275129364</v>
      </c>
      <c r="D99" s="23">
        <v>210054914</v>
      </c>
      <c r="E99" s="24">
        <v>132822265</v>
      </c>
      <c r="F99" s="23">
        <v>215035800</v>
      </c>
      <c r="G99" s="24">
        <v>133026597</v>
      </c>
      <c r="H99" s="23">
        <v>287293300</v>
      </c>
      <c r="I99" s="24">
        <v>221145112</v>
      </c>
      <c r="J99" s="23">
        <v>101626500</v>
      </c>
      <c r="K99" s="24">
        <v>185958083</v>
      </c>
      <c r="L99" s="23">
        <v>152828954</v>
      </c>
      <c r="M99" s="24">
        <v>103898499</v>
      </c>
      <c r="O99" s="31"/>
      <c r="P99" s="31"/>
      <c r="Q99" s="31"/>
      <c r="R99" s="31"/>
    </row>
    <row r="100" spans="1:18" ht="15.75" customHeight="1" outlineLevel="1" x14ac:dyDescent="0.2">
      <c r="A100" s="22" t="s">
        <v>92</v>
      </c>
      <c r="B100" s="23">
        <v>3279122835</v>
      </c>
      <c r="C100" s="24">
        <v>2930433341</v>
      </c>
      <c r="D100" s="23">
        <v>2929705807</v>
      </c>
      <c r="E100" s="24">
        <v>3068038986</v>
      </c>
      <c r="F100" s="23">
        <v>2631392857</v>
      </c>
      <c r="G100" s="24">
        <v>2817997372</v>
      </c>
      <c r="H100" s="23">
        <v>2809734360</v>
      </c>
      <c r="I100" s="24">
        <v>2464499260</v>
      </c>
      <c r="J100" s="23">
        <v>1879856813</v>
      </c>
      <c r="K100" s="24">
        <v>2079925918</v>
      </c>
      <c r="L100" s="23">
        <v>2230540371</v>
      </c>
      <c r="M100" s="24">
        <v>2265348198</v>
      </c>
      <c r="O100" s="31"/>
      <c r="P100" s="31"/>
      <c r="Q100" s="31"/>
      <c r="R100" s="31"/>
    </row>
    <row r="101" spans="1:18" ht="15.75" customHeight="1" outlineLevel="1" x14ac:dyDescent="0.2">
      <c r="A101" s="22" t="s">
        <v>93</v>
      </c>
      <c r="B101" s="23">
        <v>24157868</v>
      </c>
      <c r="C101" s="24">
        <v>36352637</v>
      </c>
      <c r="D101" s="23">
        <v>21005491</v>
      </c>
      <c r="E101" s="24">
        <v>13718554</v>
      </c>
      <c r="F101" s="23">
        <v>21503600</v>
      </c>
      <c r="G101" s="24">
        <v>13302660</v>
      </c>
      <c r="H101" s="23">
        <v>5239044</v>
      </c>
      <c r="I101" s="24">
        <v>15446148</v>
      </c>
      <c r="J101" s="23">
        <v>10162800</v>
      </c>
      <c r="K101" s="24">
        <v>31095809</v>
      </c>
      <c r="L101" s="23">
        <v>19008224</v>
      </c>
      <c r="M101" s="24">
        <v>10389850</v>
      </c>
      <c r="O101" s="31"/>
      <c r="P101" s="31"/>
      <c r="Q101" s="31"/>
      <c r="R101" s="31"/>
    </row>
    <row r="102" spans="1:18" ht="15.75" customHeight="1" outlineLevel="1" x14ac:dyDescent="0.2">
      <c r="A102" s="22" t="s">
        <v>94</v>
      </c>
      <c r="B102" s="23"/>
      <c r="C102" s="24"/>
      <c r="D102" s="23"/>
      <c r="E102" s="24"/>
      <c r="F102" s="23"/>
      <c r="G102" s="24"/>
      <c r="H102" s="23">
        <v>0</v>
      </c>
      <c r="I102" s="24">
        <v>25000</v>
      </c>
      <c r="J102" s="23">
        <v>12500000</v>
      </c>
      <c r="K102" s="24">
        <v>0</v>
      </c>
      <c r="L102" s="23"/>
      <c r="M102" s="24"/>
      <c r="O102" s="31"/>
      <c r="P102" s="31"/>
      <c r="Q102" s="31"/>
      <c r="R102" s="31"/>
    </row>
    <row r="103" spans="1:18" ht="15.75" customHeight="1" outlineLevel="1" x14ac:dyDescent="0.2">
      <c r="A103" s="22" t="s">
        <v>95</v>
      </c>
      <c r="B103" s="23"/>
      <c r="C103" s="24"/>
      <c r="D103" s="23"/>
      <c r="E103" s="24"/>
      <c r="F103" s="23"/>
      <c r="G103" s="24"/>
      <c r="H103" s="23"/>
      <c r="I103" s="24"/>
      <c r="J103" s="23">
        <v>120000000</v>
      </c>
      <c r="K103" s="24">
        <v>120000000</v>
      </c>
      <c r="L103" s="23"/>
      <c r="M103" s="24"/>
      <c r="O103" s="31"/>
      <c r="P103" s="31"/>
      <c r="Q103" s="31"/>
      <c r="R103" s="31"/>
    </row>
    <row r="104" spans="1:18" ht="15.75" customHeight="1" outlineLevel="1" x14ac:dyDescent="0.2">
      <c r="A104" s="22" t="s">
        <v>96</v>
      </c>
      <c r="B104" s="23"/>
      <c r="C104" s="24"/>
      <c r="D104" s="23"/>
      <c r="E104" s="24"/>
      <c r="F104" s="23"/>
      <c r="G104" s="24"/>
      <c r="H104" s="23"/>
      <c r="I104" s="24"/>
      <c r="J104" s="23">
        <v>77872884</v>
      </c>
      <c r="K104" s="24">
        <v>77872884</v>
      </c>
      <c r="L104" s="23"/>
      <c r="M104" s="24"/>
      <c r="O104" s="31"/>
      <c r="P104" s="31"/>
      <c r="Q104" s="31"/>
      <c r="R104" s="31"/>
    </row>
    <row r="105" spans="1:18" ht="15.75" customHeight="1" x14ac:dyDescent="0.2">
      <c r="A105" s="19" t="s">
        <v>17</v>
      </c>
      <c r="B105" s="20">
        <f t="shared" ref="B105:M105" si="31">SUM(B106:B110)</f>
        <v>121174951</v>
      </c>
      <c r="C105" s="21">
        <f t="shared" si="31"/>
        <v>95228861</v>
      </c>
      <c r="D105" s="20">
        <f t="shared" si="31"/>
        <v>90000000</v>
      </c>
      <c r="E105" s="21">
        <f t="shared" si="31"/>
        <v>155557753</v>
      </c>
      <c r="F105" s="20">
        <f t="shared" si="31"/>
        <v>74000806</v>
      </c>
      <c r="G105" s="21">
        <f t="shared" si="31"/>
        <v>240825306</v>
      </c>
      <c r="H105" s="20">
        <f t="shared" si="31"/>
        <v>98267371</v>
      </c>
      <c r="I105" s="21">
        <f t="shared" si="31"/>
        <v>232205955</v>
      </c>
      <c r="J105" s="20">
        <f t="shared" si="31"/>
        <v>241957253</v>
      </c>
      <c r="K105" s="21">
        <f t="shared" si="31"/>
        <v>167692448</v>
      </c>
      <c r="L105" s="20">
        <f t="shared" si="31"/>
        <v>123660285</v>
      </c>
      <c r="M105" s="21">
        <f t="shared" si="31"/>
        <v>484577407</v>
      </c>
      <c r="O105" s="31"/>
      <c r="P105" s="31"/>
      <c r="Q105" s="31"/>
      <c r="R105" s="31"/>
    </row>
    <row r="106" spans="1:18" ht="15.75" customHeight="1" outlineLevel="1" x14ac:dyDescent="0.2">
      <c r="A106" s="22" t="s">
        <v>97</v>
      </c>
      <c r="B106" s="23">
        <v>8000000</v>
      </c>
      <c r="C106" s="24">
        <v>14776142</v>
      </c>
      <c r="D106" s="23">
        <v>10000000</v>
      </c>
      <c r="E106" s="24">
        <v>15637818</v>
      </c>
      <c r="F106" s="23">
        <v>12000000</v>
      </c>
      <c r="G106" s="24">
        <v>15206935</v>
      </c>
      <c r="H106" s="23">
        <v>14000000</v>
      </c>
      <c r="I106" s="24">
        <v>12958263</v>
      </c>
      <c r="J106" s="23">
        <v>14000000</v>
      </c>
      <c r="K106" s="24">
        <v>3662930</v>
      </c>
      <c r="L106" s="23">
        <v>3000000</v>
      </c>
      <c r="M106" s="24">
        <v>109802</v>
      </c>
      <c r="O106" s="31"/>
      <c r="P106" s="31"/>
      <c r="Q106" s="31"/>
      <c r="R106" s="31"/>
    </row>
    <row r="107" spans="1:18" ht="15.75" customHeight="1" outlineLevel="1" x14ac:dyDescent="0.2">
      <c r="A107" s="22" t="s">
        <v>98</v>
      </c>
      <c r="B107" s="23">
        <v>3000000</v>
      </c>
      <c r="C107" s="24">
        <v>1338500</v>
      </c>
      <c r="D107" s="23">
        <v>4000000</v>
      </c>
      <c r="E107" s="24">
        <v>2903000</v>
      </c>
      <c r="F107" s="23">
        <v>3000000</v>
      </c>
      <c r="G107" s="24">
        <v>3875000</v>
      </c>
      <c r="H107" s="23">
        <v>3000000</v>
      </c>
      <c r="I107" s="24">
        <v>2877000</v>
      </c>
      <c r="J107" s="23">
        <v>3000000</v>
      </c>
      <c r="K107" s="24">
        <v>2741500</v>
      </c>
      <c r="L107" s="23">
        <v>3000000</v>
      </c>
      <c r="M107" s="24">
        <v>0</v>
      </c>
      <c r="O107" s="31"/>
      <c r="P107" s="31"/>
      <c r="Q107" s="31"/>
      <c r="R107" s="31"/>
    </row>
    <row r="108" spans="1:18" ht="15.75" customHeight="1" outlineLevel="1" x14ac:dyDescent="0.2">
      <c r="A108" s="22" t="s">
        <v>22</v>
      </c>
      <c r="B108" s="23">
        <v>100000000</v>
      </c>
      <c r="C108" s="24">
        <v>1897801</v>
      </c>
      <c r="D108" s="23">
        <v>10000000</v>
      </c>
      <c r="E108" s="24">
        <v>8906000</v>
      </c>
      <c r="F108" s="23">
        <v>0</v>
      </c>
      <c r="G108" s="24">
        <v>31830909</v>
      </c>
      <c r="H108" s="23">
        <v>10000000</v>
      </c>
      <c r="I108" s="24">
        <v>22261979</v>
      </c>
      <c r="J108" s="23">
        <v>20000000</v>
      </c>
      <c r="K108" s="24">
        <v>65000</v>
      </c>
      <c r="L108" s="23">
        <v>0</v>
      </c>
      <c r="M108" s="24">
        <v>147374349</v>
      </c>
      <c r="O108" s="31"/>
      <c r="P108" s="31"/>
      <c r="Q108" s="31"/>
      <c r="R108" s="31"/>
    </row>
    <row r="109" spans="1:18" ht="15.75" customHeight="1" outlineLevel="1" x14ac:dyDescent="0.2">
      <c r="A109" s="22" t="s">
        <v>21</v>
      </c>
      <c r="B109" s="23">
        <v>10174951</v>
      </c>
      <c r="C109" s="24">
        <v>77216418</v>
      </c>
      <c r="D109" s="23">
        <v>66000000</v>
      </c>
      <c r="E109" s="24">
        <v>128110935</v>
      </c>
      <c r="F109" s="23">
        <v>59000806</v>
      </c>
      <c r="G109" s="24">
        <v>86663004</v>
      </c>
      <c r="H109" s="23">
        <v>20000000</v>
      </c>
      <c r="I109" s="24">
        <v>69249748</v>
      </c>
      <c r="J109" s="23">
        <v>150000000</v>
      </c>
      <c r="K109" s="24">
        <v>27599460</v>
      </c>
      <c r="L109" s="23">
        <v>10174956</v>
      </c>
      <c r="M109" s="24">
        <v>161589540</v>
      </c>
      <c r="O109" s="31"/>
      <c r="P109" s="31"/>
      <c r="Q109" s="31"/>
      <c r="R109" s="31"/>
    </row>
    <row r="110" spans="1:18" ht="15.75" customHeight="1" outlineLevel="1" x14ac:dyDescent="0.2">
      <c r="A110" s="22" t="s">
        <v>18</v>
      </c>
      <c r="B110" s="23"/>
      <c r="C110" s="24"/>
      <c r="D110" s="23"/>
      <c r="E110" s="24"/>
      <c r="F110" s="23">
        <v>0</v>
      </c>
      <c r="G110" s="24">
        <v>103249458</v>
      </c>
      <c r="H110" s="23">
        <v>51267371</v>
      </c>
      <c r="I110" s="24">
        <v>124858965</v>
      </c>
      <c r="J110" s="23">
        <v>54957253</v>
      </c>
      <c r="K110" s="24">
        <v>133623558</v>
      </c>
      <c r="L110" s="23">
        <v>107485329</v>
      </c>
      <c r="M110" s="24">
        <v>175503716</v>
      </c>
      <c r="O110" s="31"/>
      <c r="P110" s="31"/>
      <c r="Q110" s="31"/>
      <c r="R110" s="31"/>
    </row>
    <row r="111" spans="1:18" ht="15.75" customHeight="1" x14ac:dyDescent="0.2">
      <c r="A111" s="25" t="s">
        <v>99</v>
      </c>
      <c r="B111" s="26"/>
      <c r="C111" s="27"/>
      <c r="D111" s="26">
        <f t="shared" ref="D111:M111" si="32">SUM(D112:D112)</f>
        <v>6000000</v>
      </c>
      <c r="E111" s="27">
        <f t="shared" si="32"/>
        <v>28223922</v>
      </c>
      <c r="F111" s="26">
        <f t="shared" si="32"/>
        <v>14000000</v>
      </c>
      <c r="G111" s="27">
        <f t="shared" si="32"/>
        <v>14435000</v>
      </c>
      <c r="H111" s="26">
        <f t="shared" si="32"/>
        <v>48000000</v>
      </c>
      <c r="I111" s="27">
        <f t="shared" si="32"/>
        <v>37899850</v>
      </c>
      <c r="J111" s="26">
        <f t="shared" si="32"/>
        <v>50000000</v>
      </c>
      <c r="K111" s="27">
        <f t="shared" si="32"/>
        <v>9139100</v>
      </c>
      <c r="L111" s="26">
        <f t="shared" si="32"/>
        <v>13349500</v>
      </c>
      <c r="M111" s="27">
        <f t="shared" si="32"/>
        <v>23349950</v>
      </c>
      <c r="O111" s="31"/>
      <c r="P111" s="31"/>
      <c r="Q111" s="31"/>
      <c r="R111" s="31"/>
    </row>
    <row r="112" spans="1:18" ht="15.75" customHeight="1" outlineLevel="1" x14ac:dyDescent="0.2">
      <c r="A112" s="28" t="s">
        <v>100</v>
      </c>
      <c r="B112" s="26"/>
      <c r="C112" s="27"/>
      <c r="D112" s="23">
        <v>6000000</v>
      </c>
      <c r="E112" s="24">
        <v>28223922</v>
      </c>
      <c r="F112" s="23">
        <v>14000000</v>
      </c>
      <c r="G112" s="24">
        <v>14435000</v>
      </c>
      <c r="H112" s="23">
        <v>48000000</v>
      </c>
      <c r="I112" s="24">
        <v>37899850</v>
      </c>
      <c r="J112" s="23">
        <v>50000000</v>
      </c>
      <c r="K112" s="24">
        <v>9139100</v>
      </c>
      <c r="L112" s="23">
        <v>13349500</v>
      </c>
      <c r="M112" s="24">
        <v>23349950</v>
      </c>
      <c r="O112" s="31"/>
      <c r="P112" s="31"/>
      <c r="Q112" s="31"/>
      <c r="R112" s="31"/>
    </row>
    <row r="113" spans="1:18" ht="15.75" customHeight="1" x14ac:dyDescent="0.2">
      <c r="A113" s="25" t="s">
        <v>101</v>
      </c>
      <c r="B113" s="26"/>
      <c r="C113" s="27"/>
      <c r="D113" s="26">
        <f t="shared" ref="D113:M113" si="33">SUM(D114:D114)</f>
        <v>36572639</v>
      </c>
      <c r="E113" s="27">
        <f t="shared" si="33"/>
        <v>45417452</v>
      </c>
      <c r="F113" s="26">
        <f t="shared" si="33"/>
        <v>19514405</v>
      </c>
      <c r="G113" s="27">
        <f t="shared" si="33"/>
        <v>31385340</v>
      </c>
      <c r="H113" s="26">
        <f t="shared" si="33"/>
        <v>1743537</v>
      </c>
      <c r="I113" s="27">
        <f t="shared" si="33"/>
        <v>0</v>
      </c>
      <c r="J113" s="26">
        <f t="shared" si="33"/>
        <v>31832800</v>
      </c>
      <c r="K113" s="27">
        <f t="shared" si="33"/>
        <v>0</v>
      </c>
      <c r="L113" s="26">
        <f t="shared" si="33"/>
        <v>1850193</v>
      </c>
      <c r="M113" s="27">
        <f t="shared" si="33"/>
        <v>2115922</v>
      </c>
      <c r="O113" s="31"/>
      <c r="P113" s="31"/>
      <c r="Q113" s="31"/>
      <c r="R113" s="31"/>
    </row>
    <row r="114" spans="1:18" ht="15.75" customHeight="1" outlineLevel="1" x14ac:dyDescent="0.2">
      <c r="A114" s="28" t="s">
        <v>102</v>
      </c>
      <c r="B114" s="26"/>
      <c r="C114" s="27"/>
      <c r="D114" s="23">
        <v>36572639</v>
      </c>
      <c r="E114" s="24">
        <v>45417452</v>
      </c>
      <c r="F114" s="23">
        <v>19514405</v>
      </c>
      <c r="G114" s="24">
        <v>31385340</v>
      </c>
      <c r="H114" s="23">
        <v>1743537</v>
      </c>
      <c r="I114" s="24">
        <v>0</v>
      </c>
      <c r="J114" s="23">
        <v>31832800</v>
      </c>
      <c r="K114" s="24">
        <v>0</v>
      </c>
      <c r="L114" s="23">
        <v>1850193</v>
      </c>
      <c r="M114" s="24">
        <v>2115922</v>
      </c>
      <c r="O114" s="31"/>
      <c r="P114" s="31"/>
      <c r="Q114" s="31"/>
      <c r="R114" s="31"/>
    </row>
    <row r="115" spans="1:18" ht="15.75" customHeight="1" x14ac:dyDescent="0.2">
      <c r="A115" s="25" t="s">
        <v>103</v>
      </c>
      <c r="B115" s="26"/>
      <c r="C115" s="27"/>
      <c r="D115" s="26"/>
      <c r="E115" s="27"/>
      <c r="F115" s="26">
        <f>SUM(F116:F116)</f>
        <v>0</v>
      </c>
      <c r="G115" s="27">
        <f>SUM(G116:G116)</f>
        <v>3493000</v>
      </c>
      <c r="H115" s="26">
        <f>SUM(H116:H116)</f>
        <v>0</v>
      </c>
      <c r="I115" s="27">
        <f>SUM(I116:I116)</f>
        <v>4675000</v>
      </c>
      <c r="J115" s="26"/>
      <c r="K115" s="27"/>
      <c r="L115" s="26"/>
      <c r="M115" s="27"/>
      <c r="O115" s="31"/>
      <c r="P115" s="31"/>
      <c r="Q115" s="31"/>
      <c r="R115" s="31"/>
    </row>
    <row r="116" spans="1:18" ht="15.75" customHeight="1" outlineLevel="1" x14ac:dyDescent="0.2">
      <c r="A116" s="28" t="s">
        <v>104</v>
      </c>
      <c r="B116" s="26"/>
      <c r="C116" s="27"/>
      <c r="D116" s="26"/>
      <c r="E116" s="27"/>
      <c r="F116" s="23">
        <v>0</v>
      </c>
      <c r="G116" s="24">
        <v>3493000</v>
      </c>
      <c r="H116" s="23">
        <v>0</v>
      </c>
      <c r="I116" s="24">
        <v>4675000</v>
      </c>
      <c r="J116" s="26"/>
      <c r="K116" s="27"/>
      <c r="L116" s="26"/>
      <c r="M116" s="27"/>
      <c r="O116" s="31"/>
      <c r="P116" s="31"/>
      <c r="Q116" s="31"/>
      <c r="R116" s="31"/>
    </row>
    <row r="117" spans="1:18" ht="15.75" customHeight="1" x14ac:dyDescent="0.2">
      <c r="A117" s="25" t="s">
        <v>105</v>
      </c>
      <c r="B117" s="26"/>
      <c r="C117" s="27"/>
      <c r="D117" s="26"/>
      <c r="E117" s="27"/>
      <c r="F117" s="26"/>
      <c r="G117" s="27"/>
      <c r="H117" s="26">
        <f t="shared" ref="H117:M117" si="34">SUM(H118:H118)</f>
        <v>0</v>
      </c>
      <c r="I117" s="27">
        <f t="shared" si="34"/>
        <v>3286000</v>
      </c>
      <c r="J117" s="26">
        <f t="shared" si="34"/>
        <v>0</v>
      </c>
      <c r="K117" s="27">
        <f t="shared" si="34"/>
        <v>2620000</v>
      </c>
      <c r="L117" s="26">
        <f t="shared" si="34"/>
        <v>1000000</v>
      </c>
      <c r="M117" s="27">
        <f t="shared" si="34"/>
        <v>0</v>
      </c>
      <c r="O117" s="31"/>
      <c r="P117" s="31"/>
      <c r="Q117" s="31"/>
      <c r="R117" s="31"/>
    </row>
    <row r="118" spans="1:18" ht="15.75" customHeight="1" outlineLevel="1" x14ac:dyDescent="0.2">
      <c r="A118" s="28" t="s">
        <v>106</v>
      </c>
      <c r="B118" s="26"/>
      <c r="C118" s="27"/>
      <c r="D118" s="26"/>
      <c r="E118" s="27"/>
      <c r="F118" s="26"/>
      <c r="G118" s="27"/>
      <c r="H118" s="23">
        <v>0</v>
      </c>
      <c r="I118" s="24">
        <v>3286000</v>
      </c>
      <c r="J118" s="23">
        <v>0</v>
      </c>
      <c r="K118" s="24">
        <v>2620000</v>
      </c>
      <c r="L118" s="23">
        <v>1000000</v>
      </c>
      <c r="M118" s="24">
        <v>0</v>
      </c>
      <c r="O118" s="31"/>
      <c r="P118" s="31"/>
      <c r="Q118" s="31"/>
      <c r="R118" s="31"/>
    </row>
    <row r="119" spans="1:18" ht="15.75" customHeight="1" x14ac:dyDescent="0.2">
      <c r="A119" s="16" t="s">
        <v>27</v>
      </c>
      <c r="B119" s="17">
        <f t="shared" ref="B119:M119" si="35">+B120+B122+B127+B129</f>
        <v>6466533665</v>
      </c>
      <c r="C119" s="18">
        <f t="shared" si="35"/>
        <v>6488577864</v>
      </c>
      <c r="D119" s="17">
        <f t="shared" si="35"/>
        <v>4991664772</v>
      </c>
      <c r="E119" s="18">
        <f t="shared" si="35"/>
        <v>5074311461</v>
      </c>
      <c r="F119" s="17">
        <f t="shared" si="35"/>
        <v>5753802582</v>
      </c>
      <c r="G119" s="18">
        <f t="shared" si="35"/>
        <v>5919773180</v>
      </c>
      <c r="H119" s="17">
        <f t="shared" si="35"/>
        <v>6546703249</v>
      </c>
      <c r="I119" s="18">
        <f t="shared" si="35"/>
        <v>6618125693</v>
      </c>
      <c r="J119" s="17">
        <f t="shared" si="35"/>
        <v>6857407367</v>
      </c>
      <c r="K119" s="18">
        <f t="shared" si="35"/>
        <v>6963714029</v>
      </c>
      <c r="L119" s="17">
        <f t="shared" si="35"/>
        <v>10671302751</v>
      </c>
      <c r="M119" s="18">
        <f t="shared" si="35"/>
        <v>8713878678</v>
      </c>
      <c r="O119" s="31"/>
      <c r="P119" s="31"/>
      <c r="Q119" s="31"/>
      <c r="R119" s="31"/>
    </row>
    <row r="120" spans="1:18" ht="15.75" customHeight="1" x14ac:dyDescent="0.2">
      <c r="A120" s="19" t="s">
        <v>28</v>
      </c>
      <c r="B120" s="58">
        <f t="shared" ref="B120:M120" si="36">SUM(B121:B121)</f>
        <v>186964800</v>
      </c>
      <c r="C120" s="59">
        <f t="shared" si="36"/>
        <v>323714485</v>
      </c>
      <c r="D120" s="58">
        <f t="shared" si="36"/>
        <v>282593268</v>
      </c>
      <c r="E120" s="59">
        <f t="shared" si="36"/>
        <v>362739957</v>
      </c>
      <c r="F120" s="58">
        <f t="shared" si="36"/>
        <v>193931600</v>
      </c>
      <c r="G120" s="59">
        <f t="shared" si="36"/>
        <v>359902198</v>
      </c>
      <c r="H120" s="58">
        <f t="shared" si="36"/>
        <v>297205375</v>
      </c>
      <c r="I120" s="59">
        <f t="shared" si="36"/>
        <v>368427819</v>
      </c>
      <c r="J120" s="58">
        <f t="shared" si="36"/>
        <v>242183439</v>
      </c>
      <c r="K120" s="59">
        <f t="shared" si="36"/>
        <v>347790101</v>
      </c>
      <c r="L120" s="58">
        <f t="shared" si="36"/>
        <v>391061214</v>
      </c>
      <c r="M120" s="59">
        <f t="shared" si="36"/>
        <v>242820150</v>
      </c>
      <c r="O120" s="31"/>
      <c r="P120" s="31"/>
      <c r="Q120" s="31"/>
      <c r="R120" s="31"/>
    </row>
    <row r="121" spans="1:18" ht="15.75" customHeight="1" outlineLevel="1" x14ac:dyDescent="0.2">
      <c r="A121" s="32" t="s">
        <v>107</v>
      </c>
      <c r="B121" s="60">
        <v>186964800</v>
      </c>
      <c r="C121" s="61">
        <v>323714485</v>
      </c>
      <c r="D121" s="60">
        <v>282593268</v>
      </c>
      <c r="E121" s="61">
        <v>362739957</v>
      </c>
      <c r="F121" s="60">
        <v>193931600</v>
      </c>
      <c r="G121" s="61">
        <v>359902198</v>
      </c>
      <c r="H121" s="60">
        <v>297205375</v>
      </c>
      <c r="I121" s="61">
        <v>368427819</v>
      </c>
      <c r="J121" s="60">
        <v>242183439</v>
      </c>
      <c r="K121" s="61">
        <v>347790101</v>
      </c>
      <c r="L121" s="60">
        <v>391061214</v>
      </c>
      <c r="M121" s="61">
        <v>242820150</v>
      </c>
      <c r="O121" s="31"/>
      <c r="P121" s="31"/>
      <c r="Q121" s="31"/>
      <c r="R121" s="31"/>
    </row>
    <row r="122" spans="1:18" ht="15.75" customHeight="1" x14ac:dyDescent="0.2">
      <c r="A122" s="36" t="s">
        <v>30</v>
      </c>
      <c r="B122" s="37">
        <f t="shared" ref="B122:M122" si="37">SUM(B123:B126)</f>
        <v>6279525909</v>
      </c>
      <c r="C122" s="38">
        <f t="shared" si="37"/>
        <v>6161067772</v>
      </c>
      <c r="D122" s="37">
        <f t="shared" si="37"/>
        <v>4709071504</v>
      </c>
      <c r="E122" s="38">
        <f t="shared" si="37"/>
        <v>4709071504</v>
      </c>
      <c r="F122" s="37">
        <f t="shared" si="37"/>
        <v>5559870982</v>
      </c>
      <c r="G122" s="38">
        <f t="shared" si="37"/>
        <v>5559870982</v>
      </c>
      <c r="H122" s="37">
        <f t="shared" si="37"/>
        <v>6249497874</v>
      </c>
      <c r="I122" s="38">
        <f t="shared" si="37"/>
        <v>6249497874</v>
      </c>
      <c r="J122" s="37">
        <f t="shared" si="37"/>
        <v>6615223928</v>
      </c>
      <c r="K122" s="38">
        <f t="shared" si="37"/>
        <v>6615223928</v>
      </c>
      <c r="L122" s="37">
        <f t="shared" si="37"/>
        <v>10280241537</v>
      </c>
      <c r="M122" s="38">
        <f t="shared" si="37"/>
        <v>8471058528</v>
      </c>
      <c r="O122" s="31"/>
      <c r="P122" s="31"/>
      <c r="Q122" s="31"/>
      <c r="R122" s="31"/>
    </row>
    <row r="123" spans="1:18" ht="15.75" customHeight="1" outlineLevel="1" x14ac:dyDescent="0.2">
      <c r="A123" s="32" t="s">
        <v>108</v>
      </c>
      <c r="B123" s="29">
        <v>1116673752</v>
      </c>
      <c r="C123" s="30">
        <v>1116673752</v>
      </c>
      <c r="D123" s="29">
        <v>605310171</v>
      </c>
      <c r="E123" s="30">
        <v>605310171</v>
      </c>
      <c r="F123" s="29">
        <v>1558143085</v>
      </c>
      <c r="G123" s="30">
        <v>1558143085</v>
      </c>
      <c r="H123" s="29">
        <v>1130603767</v>
      </c>
      <c r="I123" s="30">
        <v>1130603767</v>
      </c>
      <c r="J123" s="29">
        <v>1065547120</v>
      </c>
      <c r="K123" s="30">
        <v>1065547120</v>
      </c>
      <c r="L123" s="29">
        <v>1059791922</v>
      </c>
      <c r="M123" s="30">
        <v>715732544</v>
      </c>
      <c r="O123" s="31"/>
      <c r="P123" s="31"/>
      <c r="Q123" s="31"/>
      <c r="R123" s="31"/>
    </row>
    <row r="124" spans="1:18" ht="15.75" customHeight="1" outlineLevel="1" x14ac:dyDescent="0.2">
      <c r="A124" s="32" t="s">
        <v>109</v>
      </c>
      <c r="B124" s="29">
        <v>4971252157</v>
      </c>
      <c r="C124" s="30">
        <v>4952794020</v>
      </c>
      <c r="D124" s="29">
        <v>3477635722</v>
      </c>
      <c r="E124" s="30">
        <v>3477635722</v>
      </c>
      <c r="F124" s="29">
        <v>3002210698</v>
      </c>
      <c r="G124" s="30">
        <v>3002210698</v>
      </c>
      <c r="H124" s="29">
        <v>4564833809</v>
      </c>
      <c r="I124" s="30">
        <v>4564833809</v>
      </c>
      <c r="J124" s="29">
        <v>4279905068</v>
      </c>
      <c r="K124" s="30">
        <v>4279905068</v>
      </c>
      <c r="L124" s="29">
        <v>7414597103</v>
      </c>
      <c r="M124" s="30">
        <v>6507846587</v>
      </c>
      <c r="O124" s="31"/>
      <c r="P124" s="31"/>
      <c r="Q124" s="31"/>
      <c r="R124" s="31"/>
    </row>
    <row r="125" spans="1:18" ht="15.75" customHeight="1" outlineLevel="1" x14ac:dyDescent="0.2">
      <c r="A125" s="32" t="s">
        <v>110</v>
      </c>
      <c r="B125" s="29">
        <v>191600000</v>
      </c>
      <c r="C125" s="30">
        <v>91600000</v>
      </c>
      <c r="D125" s="29">
        <v>250709620</v>
      </c>
      <c r="E125" s="30">
        <v>250709620</v>
      </c>
      <c r="F125" s="29">
        <v>403061350</v>
      </c>
      <c r="G125" s="30">
        <v>403061350</v>
      </c>
      <c r="H125" s="29">
        <v>308366512</v>
      </c>
      <c r="I125" s="30">
        <v>308366512</v>
      </c>
      <c r="J125" s="29">
        <v>235373117</v>
      </c>
      <c r="K125" s="30">
        <v>235373117</v>
      </c>
      <c r="L125" s="29">
        <v>338173550</v>
      </c>
      <c r="M125" s="30">
        <v>319663750</v>
      </c>
      <c r="O125" s="31"/>
      <c r="P125" s="31"/>
      <c r="Q125" s="31"/>
      <c r="R125" s="31"/>
    </row>
    <row r="126" spans="1:18" ht="15.75" customHeight="1" outlineLevel="1" x14ac:dyDescent="0.2">
      <c r="A126" s="32" t="s">
        <v>111</v>
      </c>
      <c r="B126" s="29"/>
      <c r="C126" s="30"/>
      <c r="D126" s="29">
        <v>375415991</v>
      </c>
      <c r="E126" s="30">
        <v>375415991</v>
      </c>
      <c r="F126" s="29">
        <v>596455849</v>
      </c>
      <c r="G126" s="30">
        <v>596455849</v>
      </c>
      <c r="H126" s="29">
        <v>245693786</v>
      </c>
      <c r="I126" s="30">
        <v>245693786</v>
      </c>
      <c r="J126" s="29">
        <v>1034398623</v>
      </c>
      <c r="K126" s="30">
        <v>1034398623</v>
      </c>
      <c r="L126" s="29">
        <v>1467678962</v>
      </c>
      <c r="M126" s="30">
        <v>927815647</v>
      </c>
      <c r="O126" s="31"/>
      <c r="P126" s="31"/>
      <c r="Q126" s="31"/>
      <c r="R126" s="31"/>
    </row>
    <row r="127" spans="1:18" ht="15.75" customHeight="1" x14ac:dyDescent="0.2">
      <c r="A127" s="19" t="s">
        <v>39</v>
      </c>
      <c r="B127" s="58">
        <f>SUM(B128:B128)</f>
        <v>42956</v>
      </c>
      <c r="C127" s="59">
        <f>SUM(C128:C128)</f>
        <v>2075607</v>
      </c>
      <c r="D127" s="58">
        <f>SUM(D128:D128)</f>
        <v>0</v>
      </c>
      <c r="E127" s="59">
        <f>SUM(E128:E128)</f>
        <v>2500000</v>
      </c>
      <c r="F127" s="58"/>
      <c r="G127" s="59"/>
      <c r="H127" s="58"/>
      <c r="I127" s="59"/>
      <c r="J127" s="58"/>
      <c r="K127" s="59"/>
      <c r="L127" s="58"/>
      <c r="M127" s="59"/>
      <c r="O127" s="31"/>
      <c r="P127" s="31"/>
      <c r="Q127" s="31"/>
      <c r="R127" s="31"/>
    </row>
    <row r="128" spans="1:18" ht="15.75" customHeight="1" outlineLevel="1" x14ac:dyDescent="0.2">
      <c r="A128" s="28" t="s">
        <v>112</v>
      </c>
      <c r="B128" s="60">
        <v>42956</v>
      </c>
      <c r="C128" s="61">
        <v>2075607</v>
      </c>
      <c r="D128" s="60">
        <v>0</v>
      </c>
      <c r="E128" s="61">
        <v>2500000</v>
      </c>
      <c r="F128" s="60"/>
      <c r="G128" s="61"/>
      <c r="H128" s="60"/>
      <c r="I128" s="61"/>
      <c r="J128" s="60"/>
      <c r="K128" s="61"/>
      <c r="L128" s="60"/>
      <c r="M128" s="61"/>
      <c r="O128" s="31"/>
      <c r="P128" s="31"/>
      <c r="Q128" s="31"/>
      <c r="R128" s="31"/>
    </row>
    <row r="129" spans="1:18" ht="15.75" customHeight="1" x14ac:dyDescent="0.2">
      <c r="A129" s="25" t="s">
        <v>113</v>
      </c>
      <c r="B129" s="62">
        <f>SUM(B130:B130)</f>
        <v>0</v>
      </c>
      <c r="C129" s="63">
        <f>SUM(C130:C130)</f>
        <v>1720000</v>
      </c>
      <c r="D129" s="62"/>
      <c r="E129" s="63"/>
      <c r="F129" s="62"/>
      <c r="G129" s="63"/>
      <c r="H129" s="62">
        <f>SUM(H130:H130)</f>
        <v>0</v>
      </c>
      <c r="I129" s="63">
        <f>SUM(I130:I130)</f>
        <v>200000</v>
      </c>
      <c r="J129" s="62">
        <f>SUM(J130:J130)</f>
        <v>0</v>
      </c>
      <c r="K129" s="63">
        <f>SUM(K130:K130)</f>
        <v>700000</v>
      </c>
      <c r="L129" s="62"/>
      <c r="M129" s="63"/>
      <c r="O129" s="31"/>
      <c r="P129" s="31"/>
      <c r="Q129" s="31"/>
      <c r="R129" s="31"/>
    </row>
    <row r="130" spans="1:18" ht="15.75" customHeight="1" outlineLevel="1" x14ac:dyDescent="0.2">
      <c r="A130" s="48" t="s">
        <v>42</v>
      </c>
      <c r="B130" s="64">
        <v>0</v>
      </c>
      <c r="C130" s="65">
        <v>1720000</v>
      </c>
      <c r="D130" s="64"/>
      <c r="E130" s="65"/>
      <c r="F130" s="64"/>
      <c r="G130" s="65"/>
      <c r="H130" s="64">
        <v>0</v>
      </c>
      <c r="I130" s="65">
        <v>200000</v>
      </c>
      <c r="J130" s="64">
        <v>0</v>
      </c>
      <c r="K130" s="65">
        <v>700000</v>
      </c>
      <c r="L130" s="64"/>
      <c r="M130" s="65"/>
      <c r="O130" s="31"/>
      <c r="P130" s="31"/>
      <c r="Q130" s="31"/>
      <c r="R130" s="31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2024-12-12T06:24:25Z</dcterms:created>
  <dcterms:modified xsi:type="dcterms:W3CDTF">2026-10-13T16:03:21Z</dcterms:modified>
</cp:coreProperties>
</file>